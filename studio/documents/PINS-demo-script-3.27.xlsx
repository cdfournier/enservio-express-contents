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fournier/Downloads/"/>
    </mc:Choice>
  </mc:AlternateContent>
  <xr:revisionPtr revIDLastSave="0" documentId="8_{10A99D40-A762-AD47-B1F2-4684CF0403C2}" xr6:coauthVersionLast="36" xr6:coauthVersionMax="36" xr10:uidLastSave="{00000000-0000-0000-0000-000000000000}"/>
  <bookViews>
    <workbookView xWindow="1180" yWindow="460" windowWidth="25880" windowHeight="16700" activeTab="3" xr2:uid="{00000000-000D-0000-FFFF-FFFF00000000}"/>
  </bookViews>
  <sheets>
    <sheet name="Onsite Inventory Script" sheetId="1" r:id="rId1"/>
    <sheet name="Offsite Loss Info" sheetId="3" r:id="rId2"/>
    <sheet name="Offsite Rooms &amp; Items" sheetId="4" r:id="rId3"/>
    <sheet name="Offsite Inventory Room Detail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7" i="2" l="1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47" i="2" l="1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34" i="4"/>
  <c r="C34" i="4" s="1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A58" i="4"/>
  <c r="A57" i="4"/>
  <c r="A56" i="4"/>
  <c r="A55" i="4"/>
  <c r="A54" i="4"/>
  <c r="A53" i="4"/>
  <c r="A52" i="4"/>
  <c r="A51" i="4"/>
  <c r="C51" i="4" s="1"/>
  <c r="A50" i="4"/>
  <c r="A49" i="4"/>
  <c r="A48" i="4"/>
  <c r="A47" i="4"/>
  <c r="A46" i="4"/>
  <c r="C46" i="4" s="1"/>
  <c r="A45" i="4"/>
  <c r="A44" i="4"/>
  <c r="A43" i="4"/>
  <c r="C43" i="4" s="1"/>
  <c r="A42" i="4"/>
  <c r="A41" i="4"/>
  <c r="C41" i="4" s="1"/>
  <c r="A40" i="4"/>
  <c r="A39" i="4"/>
  <c r="A38" i="4"/>
  <c r="C38" i="4" s="1"/>
  <c r="A37" i="4"/>
  <c r="A36" i="4"/>
  <c r="C36" i="4" s="1"/>
  <c r="A35" i="4"/>
  <c r="C35" i="4" s="1"/>
  <c r="C37" i="4"/>
  <c r="C39" i="4"/>
  <c r="C40" i="4"/>
  <c r="C42" i="4"/>
  <c r="C44" i="4"/>
  <c r="C45" i="4"/>
  <c r="C47" i="4"/>
  <c r="C48" i="4"/>
  <c r="C49" i="4"/>
  <c r="C50" i="4"/>
  <c r="C52" i="4"/>
  <c r="C53" i="4"/>
  <c r="C54" i="4"/>
  <c r="C55" i="4"/>
  <c r="C56" i="4"/>
  <c r="C57" i="4"/>
  <c r="C58" i="4"/>
</calcChain>
</file>

<file path=xl/sharedStrings.xml><?xml version="1.0" encoding="utf-8"?>
<sst xmlns="http://schemas.openxmlformats.org/spreadsheetml/2006/main" count="248" uniqueCount="95">
  <si>
    <t>Room</t>
  </si>
  <si>
    <t>Description</t>
  </si>
  <si>
    <t>Value</t>
  </si>
  <si>
    <t>Photo (Y/N)</t>
  </si>
  <si>
    <t>Item #</t>
  </si>
  <si>
    <t>Age: Y</t>
  </si>
  <si>
    <t>Age: M</t>
  </si>
  <si>
    <t>Qty</t>
  </si>
  <si>
    <t>Loss Information</t>
  </si>
  <si>
    <t>Insured Name</t>
  </si>
  <si>
    <t>Loss Street</t>
  </si>
  <si>
    <t>State</t>
  </si>
  <si>
    <t>Zip</t>
  </si>
  <si>
    <t>Peril Type</t>
  </si>
  <si>
    <t>Content Limit</t>
  </si>
  <si>
    <t>All Rooms</t>
  </si>
  <si>
    <t>Room Items Check</t>
  </si>
  <si>
    <t>Room Items List</t>
  </si>
  <si>
    <t>Attic</t>
  </si>
  <si>
    <t>Checked Rooms -&gt;</t>
  </si>
  <si>
    <t>Basement</t>
  </si>
  <si>
    <t>Master Bedroom</t>
  </si>
  <si>
    <t>Master Bathroom</t>
  </si>
  <si>
    <t>N</t>
  </si>
  <si>
    <t>Y</t>
  </si>
  <si>
    <t>standard bed pillow</t>
  </si>
  <si>
    <t>serta queen size mattress and boxspring</t>
  </si>
  <si>
    <t xml:space="preserve">martha stewart queen sheet set </t>
  </si>
  <si>
    <t>martha stewart bath towel</t>
  </si>
  <si>
    <t>martha stewart washcloth</t>
  </si>
  <si>
    <t>Fire</t>
  </si>
  <si>
    <t>Jane Vinoy</t>
  </si>
  <si>
    <t>117 Kendrick Street</t>
  </si>
  <si>
    <t>MA</t>
  </si>
  <si>
    <t>*02494</t>
  </si>
  <si>
    <t>Kitchen</t>
  </si>
  <si>
    <t>Living Room</t>
  </si>
  <si>
    <t>Lamp</t>
  </si>
  <si>
    <t>Rug</t>
  </si>
  <si>
    <t>Chair</t>
  </si>
  <si>
    <t>Vase</t>
  </si>
  <si>
    <t>TV</t>
  </si>
  <si>
    <t>Sofa</t>
  </si>
  <si>
    <t>Candle</t>
  </si>
  <si>
    <t>DVD</t>
  </si>
  <si>
    <t>Blanket</t>
  </si>
  <si>
    <t>Mirror</t>
  </si>
  <si>
    <t>Basket</t>
  </si>
  <si>
    <t>Curtains</t>
  </si>
  <si>
    <t>Recliner</t>
  </si>
  <si>
    <t>Loveseat</t>
  </si>
  <si>
    <t>Ottoman</t>
  </si>
  <si>
    <t>Book Softcover</t>
  </si>
  <si>
    <t>Book Hardcover</t>
  </si>
  <si>
    <t>TV Stand</t>
  </si>
  <si>
    <t>Picture Frame</t>
  </si>
  <si>
    <t>Decorative Pillow</t>
  </si>
  <si>
    <t>Coffee Table</t>
  </si>
  <si>
    <t>End Table</t>
  </si>
  <si>
    <t>Board Game</t>
  </si>
  <si>
    <t>DVD Player</t>
  </si>
  <si>
    <t>Bookcase</t>
  </si>
  <si>
    <t>Bathroom</t>
  </si>
  <si>
    <t>Bedroom</t>
  </si>
  <si>
    <t>Garage</t>
  </si>
  <si>
    <t>Office</t>
  </si>
  <si>
    <t>Spatula</t>
  </si>
  <si>
    <t>Glasses</t>
  </si>
  <si>
    <t>Refrigerator</t>
  </si>
  <si>
    <t>Blender</t>
  </si>
  <si>
    <t>Mugs</t>
  </si>
  <si>
    <t>Cleaning Fluid</t>
  </si>
  <si>
    <t>Coffee Maker</t>
  </si>
  <si>
    <t>Kitchen Mixer</t>
  </si>
  <si>
    <t>Baking Dish</t>
  </si>
  <si>
    <t>Cutting Board</t>
  </si>
  <si>
    <t>Serving Bowl</t>
  </si>
  <si>
    <t>Plate Ceramic</t>
  </si>
  <si>
    <t>Pot and Pan Set</t>
  </si>
  <si>
    <t>Flatware Set</t>
  </si>
  <si>
    <t>Mixing Bowl</t>
  </si>
  <si>
    <t>Serving Platter</t>
  </si>
  <si>
    <t>Measuring Cup</t>
  </si>
  <si>
    <t>Cake Pan</t>
  </si>
  <si>
    <t>Dinnerware Set Fine China</t>
  </si>
  <si>
    <t>Frying Pan</t>
  </si>
  <si>
    <t>Microwave Oven</t>
  </si>
  <si>
    <t>Crock Pot</t>
  </si>
  <si>
    <t>Toaster</t>
  </si>
  <si>
    <t>Wastebasket</t>
  </si>
  <si>
    <t>Knife</t>
  </si>
  <si>
    <t>Rank</t>
  </si>
  <si>
    <t>x</t>
  </si>
  <si>
    <t>Laundry</t>
  </si>
  <si>
    <t>Dining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</si>
</sst>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152400</xdr:colOff>
      <xdr:row>1</xdr:row>
      <xdr:rowOff>248920</xdr:rowOff>
    </xdr:from>
    <xdr:to>
      <xdr:col>10</xdr:col>
      <xdr:colOff>558800</xdr:colOff>
      <xdr:row>19</xdr:row>
      <xdr:rowOff>52099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97B83-18D9-7340-B072-D57F17E5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457200"/>
          <a:ext cx="2057400" cy="3658899"/>
        </a:xfrm>
        <a:prstGeom prst="rect">
          <a:avLst/>
        </a:prstGeom>
      </xdr:spPr>
    </xdr:pic>
    <xdr:clientData/>
  </xdr:twoCellAnchor>
  <xdr:twoCellAnchor editAs="absolute">
    <xdr:from>
      <xdr:col>10</xdr:col>
      <xdr:colOff>787400</xdr:colOff>
      <xdr:row>1</xdr:row>
      <xdr:rowOff>248921</xdr:rowOff>
    </xdr:from>
    <xdr:to>
      <xdr:col>13</xdr:col>
      <xdr:colOff>368300</xdr:colOff>
      <xdr:row>19</xdr:row>
      <xdr:rowOff>90092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6681FA-334F-A640-9495-D1FAE7E0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457201"/>
          <a:ext cx="2057400" cy="3696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165100</xdr:colOff>
      <xdr:row>2</xdr:row>
      <xdr:rowOff>38100</xdr:rowOff>
    </xdr:from>
    <xdr:to>
      <xdr:col>9</xdr:col>
      <xdr:colOff>571500</xdr:colOff>
      <xdr:row>20</xdr:row>
      <xdr:rowOff>39398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1A5564-55DB-4F47-B172-85235911F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5400" y="457200"/>
          <a:ext cx="2057400" cy="3658898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185420</xdr:colOff>
      <xdr:row>2</xdr:row>
      <xdr:rowOff>30480</xdr:rowOff>
    </xdr:from>
    <xdr:to>
      <xdr:col>10</xdr:col>
      <xdr:colOff>589280</xdr:colOff>
      <xdr:row>20</xdr:row>
      <xdr:rowOff>31778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FE785-A681-FF4C-BAFA-DF34FD12A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93300" y="441960"/>
          <a:ext cx="2049780" cy="3567458"/>
        </a:xfrm>
        <a:prstGeom prst="rect">
          <a:avLst/>
        </a:prstGeom>
      </xdr:spPr>
    </xdr:pic>
    <xdr:clientData fPrintsWithSheet="0"/>
  </xdr:twoCellAnchor>
  <xdr:twoCellAnchor editAs="absolute">
    <xdr:from>
      <xdr:col>10</xdr:col>
      <xdr:colOff>695960</xdr:colOff>
      <xdr:row>2</xdr:row>
      <xdr:rowOff>38100</xdr:rowOff>
    </xdr:from>
    <xdr:to>
      <xdr:col>13</xdr:col>
      <xdr:colOff>276859</xdr:colOff>
      <xdr:row>20</xdr:row>
      <xdr:rowOff>39398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07085C-5507-1943-81B3-F6B79F26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049760" y="449580"/>
          <a:ext cx="2049779" cy="3567458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609600</xdr:colOff>
      <xdr:row>2</xdr:row>
      <xdr:rowOff>38100</xdr:rowOff>
    </xdr:from>
    <xdr:to>
      <xdr:col>11</xdr:col>
      <xdr:colOff>190500</xdr:colOff>
      <xdr:row>33</xdr:row>
      <xdr:rowOff>58237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5B657C-036F-9748-B99E-517AB0364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6800" y="457200"/>
          <a:ext cx="2057400" cy="6306637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20" zoomScaleNormal="120" workbookViewId="0">
      <pane ySplit="1" topLeftCell="A2" activePane="bottomLeft" state="frozen"/>
      <selection pane="bottomLeft" activeCell="C2" sqref="C2"/>
    </sheetView>
  </sheetViews>
  <sheetFormatPr baseColWidth="10" defaultColWidth="11.1640625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</cols>
  <sheetData>
    <row r="1" spans="1:8" s="1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  <row r="2" spans="1:8" ht="34" x14ac:dyDescent="0.2">
      <c r="A2" s="5">
        <v>1</v>
      </c>
      <c r="B2" s="7" t="s">
        <v>21</v>
      </c>
      <c r="C2" s="7" t="s">
        <v>26</v>
      </c>
      <c r="D2" s="5">
        <v>850</v>
      </c>
      <c r="E2" s="5">
        <v>1</v>
      </c>
      <c r="F2" s="5">
        <v>5</v>
      </c>
      <c r="G2" s="5">
        <v>0</v>
      </c>
      <c r="H2" s="5" t="s">
        <v>24</v>
      </c>
    </row>
    <row r="3" spans="1:8" ht="17" x14ac:dyDescent="0.2">
      <c r="A3" s="5">
        <v>2</v>
      </c>
      <c r="B3" s="7" t="s">
        <v>21</v>
      </c>
      <c r="C3" s="7" t="s">
        <v>27</v>
      </c>
      <c r="D3" s="5">
        <v>120</v>
      </c>
      <c r="E3" s="5">
        <v>1</v>
      </c>
      <c r="F3" s="5">
        <v>2</v>
      </c>
      <c r="G3" s="5">
        <v>6</v>
      </c>
      <c r="H3" s="5" t="s">
        <v>23</v>
      </c>
    </row>
    <row r="4" spans="1:8" ht="17" x14ac:dyDescent="0.2">
      <c r="A4" s="5">
        <v>3</v>
      </c>
      <c r="B4" s="7" t="s">
        <v>21</v>
      </c>
      <c r="C4" s="7" t="s">
        <v>25</v>
      </c>
      <c r="D4" s="5">
        <v>20</v>
      </c>
      <c r="E4" s="5">
        <v>2</v>
      </c>
      <c r="F4" s="5">
        <v>1</v>
      </c>
      <c r="G4" s="5">
        <v>0</v>
      </c>
      <c r="H4" s="5" t="s">
        <v>23</v>
      </c>
    </row>
    <row r="5" spans="1:8" ht="17" x14ac:dyDescent="0.2">
      <c r="A5" s="5">
        <v>4</v>
      </c>
      <c r="B5" s="7" t="s">
        <v>22</v>
      </c>
      <c r="C5" s="7" t="s">
        <v>29</v>
      </c>
      <c r="D5" s="5">
        <v>20</v>
      </c>
      <c r="E5" s="5">
        <v>4</v>
      </c>
      <c r="F5" s="5">
        <v>1</v>
      </c>
      <c r="G5" s="5">
        <v>0</v>
      </c>
      <c r="H5" s="5" t="s">
        <v>23</v>
      </c>
    </row>
    <row r="6" spans="1:8" ht="17" x14ac:dyDescent="0.2">
      <c r="A6" s="5">
        <v>5</v>
      </c>
      <c r="B6" s="7" t="s">
        <v>22</v>
      </c>
      <c r="C6" s="7" t="s">
        <v>28</v>
      </c>
      <c r="D6" s="5">
        <v>12</v>
      </c>
      <c r="E6" s="5">
        <v>6</v>
      </c>
      <c r="F6" s="5">
        <v>1</v>
      </c>
      <c r="G6" s="5">
        <v>0</v>
      </c>
      <c r="H6" s="5" t="s">
        <v>23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7" sqref="B7"/>
    </sheetView>
  </sheetViews>
  <sheetFormatPr baseColWidth="10" defaultColWidth="11.1640625" defaultRowHeight="16" x14ac:dyDescent="0.2"/>
  <cols>
    <col min="1" max="1" width="14.83203125" style="4" customWidth="1"/>
    <col min="2" max="2" width="40.83203125" style="7" customWidth="1"/>
    <col min="3" max="4" width="13.33203125" style="7" customWidth="1"/>
  </cols>
  <sheetData>
    <row r="1" spans="1:4" s="8" customFormat="1" ht="17" customHeight="1" x14ac:dyDescent="0.2">
      <c r="A1" s="10"/>
      <c r="B1" s="12" t="s">
        <v>8</v>
      </c>
      <c r="C1" s="15"/>
      <c r="D1" s="15"/>
    </row>
    <row r="2" spans="1:4" ht="17" x14ac:dyDescent="0.2">
      <c r="A2" s="10" t="s">
        <v>9</v>
      </c>
      <c r="B2" s="13" t="s">
        <v>31</v>
      </c>
      <c r="C2" s="14"/>
      <c r="D2" s="14"/>
    </row>
    <row r="3" spans="1:4" ht="17" x14ac:dyDescent="0.2">
      <c r="A3" s="10" t="s">
        <v>10</v>
      </c>
      <c r="B3" s="13" t="s">
        <v>32</v>
      </c>
      <c r="C3" s="14"/>
      <c r="D3" s="14"/>
    </row>
    <row r="4" spans="1:4" ht="17" x14ac:dyDescent="0.2">
      <c r="A4" s="10" t="s">
        <v>11</v>
      </c>
      <c r="B4" s="13" t="s">
        <v>33</v>
      </c>
      <c r="C4" s="14"/>
      <c r="D4" s="14"/>
    </row>
    <row r="5" spans="1:4" ht="17" x14ac:dyDescent="0.2">
      <c r="A5" s="10" t="s">
        <v>12</v>
      </c>
      <c r="B5" s="13" t="s">
        <v>34</v>
      </c>
      <c r="C5" s="14"/>
      <c r="D5" s="14"/>
    </row>
    <row r="6" spans="1:4" ht="17" x14ac:dyDescent="0.2">
      <c r="A6" s="10" t="s">
        <v>13</v>
      </c>
      <c r="B6" s="13" t="s">
        <v>30</v>
      </c>
      <c r="C6" s="14"/>
      <c r="D6" s="14"/>
    </row>
    <row r="7" spans="1:4" x14ac:dyDescent="0.2">
      <c r="A7" s="10" t="s">
        <v>14</v>
      </c>
      <c r="B7" s="13">
        <v>150000</v>
      </c>
      <c r="C7" s="14"/>
      <c r="D7" s="14"/>
    </row>
    <row r="9" spans="1:4" x14ac:dyDescent="0.2">
      <c r="A9" s="9"/>
    </row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>
      <selection activeCell="A34" sqref="A34"/>
    </sheetView>
  </sheetViews>
  <sheetFormatPr baseColWidth="10" defaultColWidth="10.83203125" defaultRowHeight="16" x14ac:dyDescent="0.2"/>
  <cols>
    <col min="1" max="1" width="20.83203125" style="5" customWidth="1"/>
    <col min="2" max="2" width="5" style="5" customWidth="1"/>
    <col min="3" max="3" width="23.33203125" style="3" bestFit="1" customWidth="1"/>
    <col min="4" max="4" width="20.83203125" style="3" customWidth="1"/>
    <col min="5" max="5" width="5.1640625" style="3" customWidth="1"/>
    <col min="6" max="7" width="20.83203125" style="3" customWidth="1"/>
    <col min="8" max="16384" width="10.83203125" style="3"/>
  </cols>
  <sheetData>
    <row r="1" spans="1:7" s="2" customFormat="1" x14ac:dyDescent="0.2">
      <c r="A1" s="10" t="s">
        <v>19</v>
      </c>
      <c r="B1" s="10" t="s">
        <v>91</v>
      </c>
      <c r="C1" s="20" t="s">
        <v>35</v>
      </c>
      <c r="D1" s="20"/>
      <c r="E1" s="16" t="s">
        <v>91</v>
      </c>
      <c r="F1" s="20" t="s">
        <v>36</v>
      </c>
      <c r="G1" s="20"/>
    </row>
    <row r="2" spans="1:7" s="4" customFormat="1" ht="17" customHeight="1" x14ac:dyDescent="0.2">
      <c r="A2" s="10" t="s">
        <v>15</v>
      </c>
      <c r="B2" s="10"/>
      <c r="C2" s="10" t="s">
        <v>17</v>
      </c>
      <c r="D2" s="4" t="s">
        <v>16</v>
      </c>
      <c r="F2" s="10" t="s">
        <v>17</v>
      </c>
      <c r="G2" s="4" t="s">
        <v>16</v>
      </c>
    </row>
    <row r="3" spans="1:7" x14ac:dyDescent="0.2">
      <c r="A3" s="11" t="s">
        <v>18</v>
      </c>
      <c r="B3" s="5">
        <v>1</v>
      </c>
      <c r="C3" t="s">
        <v>66</v>
      </c>
      <c r="D3" s="3" t="s">
        <v>92</v>
      </c>
      <c r="E3" s="3">
        <v>1</v>
      </c>
      <c r="F3" s="17" t="s">
        <v>57</v>
      </c>
      <c r="G3" s="3" t="s">
        <v>92</v>
      </c>
    </row>
    <row r="4" spans="1:7" x14ac:dyDescent="0.2">
      <c r="A4" s="11" t="s">
        <v>20</v>
      </c>
      <c r="B4" s="5">
        <v>2</v>
      </c>
      <c r="C4" t="s">
        <v>67</v>
      </c>
      <c r="D4" s="3" t="s">
        <v>92</v>
      </c>
      <c r="E4" s="3">
        <v>2</v>
      </c>
      <c r="F4" s="17" t="s">
        <v>55</v>
      </c>
      <c r="G4" s="3" t="s">
        <v>92</v>
      </c>
    </row>
    <row r="5" spans="1:7" x14ac:dyDescent="0.2">
      <c r="A5" s="11" t="s">
        <v>62</v>
      </c>
      <c r="B5" s="5">
        <v>3</v>
      </c>
      <c r="C5" t="s">
        <v>71</v>
      </c>
      <c r="D5" s="3" t="s">
        <v>92</v>
      </c>
      <c r="E5" s="3">
        <v>3</v>
      </c>
      <c r="F5" s="17" t="s">
        <v>37</v>
      </c>
      <c r="G5" s="3" t="s">
        <v>92</v>
      </c>
    </row>
    <row r="6" spans="1:7" x14ac:dyDescent="0.2">
      <c r="A6" s="11" t="s">
        <v>63</v>
      </c>
      <c r="B6" s="5">
        <v>4</v>
      </c>
      <c r="C6" t="s">
        <v>72</v>
      </c>
      <c r="D6" s="3" t="s">
        <v>92</v>
      </c>
      <c r="E6" s="3">
        <v>4</v>
      </c>
      <c r="F6" s="17" t="s">
        <v>38</v>
      </c>
      <c r="G6" s="3" t="s">
        <v>92</v>
      </c>
    </row>
    <row r="7" spans="1:7" x14ac:dyDescent="0.2">
      <c r="A7" s="5" t="s">
        <v>94</v>
      </c>
      <c r="B7" s="5">
        <v>5</v>
      </c>
      <c r="C7" t="s">
        <v>73</v>
      </c>
      <c r="E7" s="3">
        <v>5</v>
      </c>
      <c r="F7" s="17" t="s">
        <v>53</v>
      </c>
      <c r="G7" s="3" t="s">
        <v>92</v>
      </c>
    </row>
    <row r="8" spans="1:7" x14ac:dyDescent="0.2">
      <c r="A8" s="11" t="s">
        <v>64</v>
      </c>
      <c r="B8" s="5">
        <v>6</v>
      </c>
      <c r="C8" t="s">
        <v>68</v>
      </c>
      <c r="D8" s="3" t="s">
        <v>92</v>
      </c>
      <c r="E8" s="3">
        <v>6</v>
      </c>
      <c r="F8" s="17" t="s">
        <v>52</v>
      </c>
    </row>
    <row r="9" spans="1:7" x14ac:dyDescent="0.2">
      <c r="A9" s="5" t="s">
        <v>35</v>
      </c>
      <c r="B9" s="5">
        <v>7</v>
      </c>
      <c r="C9" t="s">
        <v>74</v>
      </c>
      <c r="D9" s="3" t="s">
        <v>92</v>
      </c>
      <c r="E9" s="3">
        <v>7</v>
      </c>
      <c r="F9" s="17" t="s">
        <v>39</v>
      </c>
      <c r="G9" s="3" t="s">
        <v>92</v>
      </c>
    </row>
    <row r="10" spans="1:7" x14ac:dyDescent="0.2">
      <c r="A10" s="5" t="s">
        <v>93</v>
      </c>
      <c r="B10" s="5">
        <v>8</v>
      </c>
      <c r="C10" t="s">
        <v>69</v>
      </c>
      <c r="E10" s="3">
        <v>8</v>
      </c>
      <c r="F10" s="17" t="s">
        <v>56</v>
      </c>
      <c r="G10" s="3" t="s">
        <v>92</v>
      </c>
    </row>
    <row r="11" spans="1:7" x14ac:dyDescent="0.2">
      <c r="A11" s="11" t="s">
        <v>36</v>
      </c>
      <c r="B11" s="5">
        <v>9</v>
      </c>
      <c r="C11" t="s">
        <v>75</v>
      </c>
      <c r="D11" s="3" t="s">
        <v>92</v>
      </c>
      <c r="E11" s="3">
        <v>9</v>
      </c>
      <c r="F11" s="17" t="s">
        <v>40</v>
      </c>
    </row>
    <row r="12" spans="1:7" x14ac:dyDescent="0.2">
      <c r="A12" s="5" t="s">
        <v>65</v>
      </c>
      <c r="B12" s="5">
        <v>10</v>
      </c>
      <c r="C12" t="s">
        <v>76</v>
      </c>
      <c r="D12" s="3" t="s">
        <v>92</v>
      </c>
      <c r="E12" s="3">
        <v>10</v>
      </c>
      <c r="F12" s="17" t="s">
        <v>41</v>
      </c>
      <c r="G12" s="3" t="s">
        <v>92</v>
      </c>
    </row>
    <row r="13" spans="1:7" x14ac:dyDescent="0.2">
      <c r="B13" s="5">
        <v>11</v>
      </c>
      <c r="C13" t="s">
        <v>77</v>
      </c>
      <c r="D13" s="3" t="s">
        <v>92</v>
      </c>
      <c r="E13" s="3">
        <v>11</v>
      </c>
      <c r="F13" s="17" t="s">
        <v>42</v>
      </c>
      <c r="G13" s="3" t="s">
        <v>92</v>
      </c>
    </row>
    <row r="14" spans="1:7" x14ac:dyDescent="0.2">
      <c r="B14" s="5">
        <v>12</v>
      </c>
      <c r="C14" t="s">
        <v>78</v>
      </c>
      <c r="D14" s="3" t="s">
        <v>92</v>
      </c>
      <c r="E14" s="3">
        <v>12</v>
      </c>
      <c r="F14" s="17" t="s">
        <v>43</v>
      </c>
    </row>
    <row r="15" spans="1:7" x14ac:dyDescent="0.2">
      <c r="B15" s="5">
        <v>13</v>
      </c>
      <c r="C15" t="s">
        <v>79</v>
      </c>
      <c r="D15" s="3" t="s">
        <v>92</v>
      </c>
      <c r="E15" s="3">
        <v>13</v>
      </c>
      <c r="F15" s="17" t="s">
        <v>59</v>
      </c>
      <c r="G15" s="3" t="s">
        <v>92</v>
      </c>
    </row>
    <row r="16" spans="1:7" x14ac:dyDescent="0.2">
      <c r="B16" s="5">
        <v>14</v>
      </c>
      <c r="C16" t="s">
        <v>70</v>
      </c>
      <c r="D16" s="3" t="s">
        <v>92</v>
      </c>
      <c r="E16" s="3">
        <v>14</v>
      </c>
      <c r="F16" s="17" t="s">
        <v>44</v>
      </c>
      <c r="G16" s="3" t="s">
        <v>92</v>
      </c>
    </row>
    <row r="17" spans="2:7" x14ac:dyDescent="0.2">
      <c r="B17" s="5">
        <v>15</v>
      </c>
      <c r="C17" t="s">
        <v>80</v>
      </c>
      <c r="D17" s="3" t="s">
        <v>92</v>
      </c>
      <c r="E17" s="3">
        <v>15</v>
      </c>
      <c r="F17" s="18" t="s">
        <v>60</v>
      </c>
      <c r="G17" s="3" t="s">
        <v>92</v>
      </c>
    </row>
    <row r="18" spans="2:7" x14ac:dyDescent="0.2">
      <c r="B18" s="5">
        <v>16</v>
      </c>
      <c r="C18" t="s">
        <v>81</v>
      </c>
      <c r="D18" s="3" t="s">
        <v>92</v>
      </c>
      <c r="E18" s="3">
        <v>16</v>
      </c>
      <c r="F18" s="17" t="s">
        <v>45</v>
      </c>
      <c r="G18" s="3" t="s">
        <v>92</v>
      </c>
    </row>
    <row r="19" spans="2:7" x14ac:dyDescent="0.2">
      <c r="B19" s="5">
        <v>17</v>
      </c>
      <c r="C19" t="s">
        <v>90</v>
      </c>
      <c r="D19" s="3" t="s">
        <v>92</v>
      </c>
      <c r="E19" s="3">
        <v>17</v>
      </c>
      <c r="F19" s="17" t="s">
        <v>46</v>
      </c>
      <c r="G19" s="3" t="s">
        <v>92</v>
      </c>
    </row>
    <row r="20" spans="2:7" x14ac:dyDescent="0.2">
      <c r="B20" s="5">
        <v>18</v>
      </c>
      <c r="C20" t="s">
        <v>82</v>
      </c>
      <c r="D20" s="3" t="s">
        <v>92</v>
      </c>
      <c r="E20" s="3">
        <v>18</v>
      </c>
      <c r="F20" s="17" t="s">
        <v>47</v>
      </c>
      <c r="G20" s="3" t="s">
        <v>92</v>
      </c>
    </row>
    <row r="21" spans="2:7" x14ac:dyDescent="0.2">
      <c r="B21" s="5">
        <v>19</v>
      </c>
      <c r="C21" t="s">
        <v>83</v>
      </c>
      <c r="D21" s="3" t="s">
        <v>92</v>
      </c>
      <c r="E21" s="3">
        <v>19</v>
      </c>
      <c r="F21" s="18" t="s">
        <v>58</v>
      </c>
      <c r="G21" s="3" t="s">
        <v>92</v>
      </c>
    </row>
    <row r="22" spans="2:7" x14ac:dyDescent="0.2">
      <c r="B22" s="5">
        <v>20</v>
      </c>
      <c r="C22" t="s">
        <v>84</v>
      </c>
      <c r="D22" s="3" t="s">
        <v>92</v>
      </c>
      <c r="E22" s="3">
        <v>20</v>
      </c>
      <c r="F22" s="17" t="s">
        <v>48</v>
      </c>
      <c r="G22" s="3" t="s">
        <v>92</v>
      </c>
    </row>
    <row r="23" spans="2:7" x14ac:dyDescent="0.2">
      <c r="B23" s="5">
        <v>21</v>
      </c>
      <c r="C23" t="s">
        <v>85</v>
      </c>
      <c r="D23" s="3" t="s">
        <v>92</v>
      </c>
      <c r="E23" s="3">
        <v>21</v>
      </c>
      <c r="F23" s="17" t="s">
        <v>49</v>
      </c>
      <c r="G23" s="3" t="s">
        <v>92</v>
      </c>
    </row>
    <row r="24" spans="2:7" x14ac:dyDescent="0.2">
      <c r="B24" s="5">
        <v>22</v>
      </c>
      <c r="C24" t="s">
        <v>86</v>
      </c>
      <c r="D24" s="3" t="s">
        <v>92</v>
      </c>
      <c r="E24" s="3">
        <v>22</v>
      </c>
      <c r="F24" s="17" t="s">
        <v>54</v>
      </c>
      <c r="G24" s="3" t="s">
        <v>92</v>
      </c>
    </row>
    <row r="25" spans="2:7" x14ac:dyDescent="0.2">
      <c r="B25" s="5">
        <v>23</v>
      </c>
      <c r="C25" t="s">
        <v>87</v>
      </c>
      <c r="D25" s="3" t="s">
        <v>92</v>
      </c>
      <c r="E25" s="3">
        <v>23</v>
      </c>
      <c r="F25" s="17" t="s">
        <v>50</v>
      </c>
      <c r="G25" s="3" t="s">
        <v>92</v>
      </c>
    </row>
    <row r="26" spans="2:7" x14ac:dyDescent="0.2">
      <c r="B26" s="5">
        <v>24</v>
      </c>
      <c r="C26" s="3" t="s">
        <v>89</v>
      </c>
      <c r="D26" s="3" t="s">
        <v>92</v>
      </c>
      <c r="E26" s="3">
        <v>24</v>
      </c>
      <c r="F26" s="17" t="s">
        <v>51</v>
      </c>
      <c r="G26" s="3" t="s">
        <v>92</v>
      </c>
    </row>
    <row r="27" spans="2:7" x14ac:dyDescent="0.2">
      <c r="B27" s="5">
        <v>25</v>
      </c>
      <c r="C27" s="3" t="s">
        <v>88</v>
      </c>
      <c r="D27" s="3" t="s">
        <v>92</v>
      </c>
      <c r="E27" s="3">
        <v>25</v>
      </c>
      <c r="F27" s="17" t="s">
        <v>61</v>
      </c>
      <c r="G27" s="3" t="s">
        <v>92</v>
      </c>
    </row>
    <row r="29" spans="2:7" x14ac:dyDescent="0.2">
      <c r="F29"/>
    </row>
    <row r="30" spans="2:7" x14ac:dyDescent="0.2">
      <c r="C30"/>
      <c r="F30"/>
    </row>
    <row r="32" spans="2:7" x14ac:dyDescent="0.2">
      <c r="F32"/>
    </row>
    <row r="34" spans="1:6" x14ac:dyDescent="0.2">
      <c r="A34" s="5" t="str">
        <f>LOWER(SUBSTITUTE(TRIM(C3)," ","-"))</f>
        <v>spatula</v>
      </c>
      <c r="C34" s="3" t="str">
        <f>CONCATENATE("&lt;fieldset class=""half""&gt;",CHAR(10),"&lt;legend&gt;",C3,"&lt;/legend&gt;",CHAR(10),"&lt;label for=""",A34,""" class=""checkbox""&gt;",C3,"&lt;input type=""checkbox"" name=""",A34,""" id=""",A34,"""&gt;&lt;/label&gt;",CHAR(10),"&lt;span class=""error-message""&gt;&lt;/span&gt;",CHAR(10),"&lt;/fieldset&gt;")</f>
        <v>&lt;fieldset class="half"&gt;
&lt;legend&gt;Spatula&lt;/legend&gt;
&lt;label for="spatula" class="checkbox"&gt;Spatula&lt;input type="checkbox" name="spatula" id="spatula"&gt;&lt;/label&gt;
&lt;span class="error-message"&gt;&lt;/span&gt;
&lt;/fieldset&gt;</v>
      </c>
      <c r="D34" s="5" t="str">
        <f>LOWER(SUBSTITUTE(TRIM(F3)," ","-"))</f>
        <v>coffee-table</v>
      </c>
      <c r="F34" s="3" t="str">
        <f>CONCATENATE("&lt;fieldset class=""half""&gt;",CHAR(10),"&lt;legend&gt;",F3,"&lt;/legend&gt;",CHAR(10),"&lt;label for=""",D34,""" class=""checkbox""&gt;",F3,"&lt;input type=""checkbox"" name=""",D34,""" id=""",D34,"""&gt;&lt;/label&gt;",CHAR(10),"&lt;span class=""error-message""&gt;&lt;/span&gt;",CHAR(10),"&lt;/fieldset&gt;")</f>
        <v>&lt;fieldset class="half"&gt;
&lt;legend&gt;Coffee Table&lt;/legend&gt;
&lt;label for="coffee-table" class="checkbox"&gt;Coffee Table&lt;input type="checkbox" name="coffee-table" id="coffee-table"&gt;&lt;/label&gt;
&lt;span class="error-message"&gt;&lt;/span&gt;
&lt;/fieldset&gt;</v>
      </c>
    </row>
    <row r="35" spans="1:6" x14ac:dyDescent="0.2">
      <c r="A35" s="5" t="str">
        <f t="shared" ref="A35:A58" si="0">LOWER(SUBSTITUTE(TRIM(C4)," ","-"))</f>
        <v>glasses</v>
      </c>
      <c r="C35" s="3" t="str">
        <f t="shared" ref="C35:C58" si="1">CONCATENATE("&lt;fieldset class=""half""&gt;",CHAR(10),"&lt;legend&gt;",C4,"&lt;/legend&gt;",CHAR(10),"&lt;label for=""",A35,""" class=""checkbox""&gt;",C4,"&lt;input type=""checkbox"" name=""",A35,""" id=""",A35,"""&gt;&lt;/label&gt;",CHAR(10),"&lt;span class=""error-message""&gt;&lt;/span&gt;",CHAR(10),"&lt;/fieldset&gt;")</f>
        <v>&lt;fieldset class="half"&gt;
&lt;legend&gt;Glasses&lt;/legend&gt;
&lt;label for="glasses" class="checkbox"&gt;Glasses&lt;input type="checkbox" name="glasses" id="glasses"&gt;&lt;/label&gt;
&lt;span class="error-message"&gt;&lt;/span&gt;
&lt;/fieldset&gt;</v>
      </c>
      <c r="D35" s="5" t="str">
        <f t="shared" ref="D35:D58" si="2">LOWER(SUBSTITUTE(TRIM(F4)," ","-"))</f>
        <v>picture-frame</v>
      </c>
      <c r="F35" s="3" t="str">
        <f t="shared" ref="F35:F58" si="3">CONCATENATE("&lt;fieldset class=""half""&gt;",CHAR(10),"&lt;legend&gt;",F4,"&lt;/legend&gt;",CHAR(10),"&lt;label for=""",D35,""" class=""checkbox""&gt;",F4,"&lt;input type=""checkbox"" name=""",D35,""" id=""",D35,"""&gt;&lt;/label&gt;",CHAR(10),"&lt;span class=""error-message""&gt;&lt;/span&gt;",CHAR(10),"&lt;/fieldset&gt;")</f>
        <v>&lt;fieldset class="half"&gt;
&lt;legend&gt;Picture Frame&lt;/legend&gt;
&lt;label for="picture-frame" class="checkbox"&gt;Picture Frame&lt;input type="checkbox" name="picture-frame" id="picture-frame"&gt;&lt;/label&gt;
&lt;span class="error-message"&gt;&lt;/span&gt;
&lt;/fieldset&gt;</v>
      </c>
    </row>
    <row r="36" spans="1:6" x14ac:dyDescent="0.2">
      <c r="A36" s="5" t="str">
        <f t="shared" si="0"/>
        <v>cleaning-fluid</v>
      </c>
      <c r="C36" s="3" t="str">
        <f t="shared" si="1"/>
        <v>&lt;fieldset class="half"&gt;
&lt;legend&gt;Cleaning Fluid&lt;/legend&gt;
&lt;label for="cleaning-fluid" class="checkbox"&gt;Cleaning Fluid&lt;input type="checkbox" name="cleaning-fluid" id="cleaning-fluid"&gt;&lt;/label&gt;
&lt;span class="error-message"&gt;&lt;/span&gt;
&lt;/fieldset&gt;</v>
      </c>
      <c r="D36" s="5" t="str">
        <f t="shared" si="2"/>
        <v>lamp</v>
      </c>
      <c r="F36" s="3" t="str">
        <f t="shared" si="3"/>
        <v>&lt;fieldset class="half"&gt;
&lt;legend&gt;Lamp&lt;/legend&gt;
&lt;label for="lamp" class="checkbox"&gt;Lamp&lt;input type="checkbox" name="lamp" id="lamp"&gt;&lt;/label&gt;
&lt;span class="error-message"&gt;&lt;/span&gt;
&lt;/fieldset&gt;</v>
      </c>
    </row>
    <row r="37" spans="1:6" x14ac:dyDescent="0.2">
      <c r="A37" s="5" t="str">
        <f t="shared" si="0"/>
        <v>coffee-maker</v>
      </c>
      <c r="C37" s="3" t="str">
        <f t="shared" si="1"/>
        <v>&lt;fieldset class="half"&gt;
&lt;legend&gt;Coffee Maker&lt;/legend&gt;
&lt;label for="coffee-maker" class="checkbox"&gt;Coffee Maker&lt;input type="checkbox" name="coffee-maker" id="coffee-maker"&gt;&lt;/label&gt;
&lt;span class="error-message"&gt;&lt;/span&gt;
&lt;/fieldset&gt;</v>
      </c>
      <c r="D37" s="5" t="str">
        <f t="shared" si="2"/>
        <v>rug</v>
      </c>
      <c r="F37" s="3" t="str">
        <f t="shared" si="3"/>
        <v>&lt;fieldset class="half"&gt;
&lt;legend&gt;Rug&lt;/legend&gt;
&lt;label for="rug" class="checkbox"&gt;Rug&lt;input type="checkbox" name="rug" id="rug"&gt;&lt;/label&gt;
&lt;span class="error-message"&gt;&lt;/span&gt;
&lt;/fieldset&gt;</v>
      </c>
    </row>
    <row r="38" spans="1:6" x14ac:dyDescent="0.2">
      <c r="A38" s="5" t="str">
        <f t="shared" si="0"/>
        <v>kitchen-mixer</v>
      </c>
      <c r="C38" s="3" t="str">
        <f t="shared" si="1"/>
        <v>&lt;fieldset class="half"&gt;
&lt;legend&gt;Kitchen Mixer&lt;/legend&gt;
&lt;label for="kitchen-mixer" class="checkbox"&gt;Kitchen Mixer&lt;input type="checkbox" name="kitchen-mixer" id="kitchen-mixer"&gt;&lt;/label&gt;
&lt;span class="error-message"&gt;&lt;/span&gt;
&lt;/fieldset&gt;</v>
      </c>
      <c r="D38" s="5" t="str">
        <f t="shared" si="2"/>
        <v>book-hardcover</v>
      </c>
      <c r="F38" s="3" t="str">
        <f t="shared" si="3"/>
        <v>&lt;fieldset class="half"&gt;
&lt;legend&gt;Book Hardcover&lt;/legend&gt;
&lt;label for="book-hardcover" class="checkbox"&gt;Book Hardcover&lt;input type="checkbox" name="book-hardcover" id="book-hardcover"&gt;&lt;/label&gt;
&lt;span class="error-message"&gt;&lt;/span&gt;
&lt;/fieldset&gt;</v>
      </c>
    </row>
    <row r="39" spans="1:6" x14ac:dyDescent="0.2">
      <c r="A39" s="5" t="str">
        <f t="shared" si="0"/>
        <v>refrigerator</v>
      </c>
      <c r="C39" s="3" t="str">
        <f t="shared" si="1"/>
        <v>&lt;fieldset class="half"&gt;
&lt;legend&gt;Refrigerator&lt;/legend&gt;
&lt;label for="refrigerator" class="checkbox"&gt;Refrigerator&lt;input type="checkbox" name="refrigerator" id="refrigerator"&gt;&lt;/label&gt;
&lt;span class="error-message"&gt;&lt;/span&gt;
&lt;/fieldset&gt;</v>
      </c>
      <c r="D39" s="5" t="str">
        <f t="shared" si="2"/>
        <v>book-softcover</v>
      </c>
      <c r="F39" s="3" t="str">
        <f t="shared" si="3"/>
        <v>&lt;fieldset class="half"&gt;
&lt;legend&gt;Book Softcover&lt;/legend&gt;
&lt;label for="book-softcover" class="checkbox"&gt;Book Softcover&lt;input type="checkbox" name="book-softcover" id="book-softcover"&gt;&lt;/label&gt;
&lt;span class="error-message"&gt;&lt;/span&gt;
&lt;/fieldset&gt;</v>
      </c>
    </row>
    <row r="40" spans="1:6" x14ac:dyDescent="0.2">
      <c r="A40" s="5" t="str">
        <f t="shared" si="0"/>
        <v>baking-dish</v>
      </c>
      <c r="C40" s="3" t="str">
        <f t="shared" si="1"/>
        <v>&lt;fieldset class="half"&gt;
&lt;legend&gt;Baking Dish&lt;/legend&gt;
&lt;label for="baking-dish" class="checkbox"&gt;Baking Dish&lt;input type="checkbox" name="baking-dish" id="baking-dish"&gt;&lt;/label&gt;
&lt;span class="error-message"&gt;&lt;/span&gt;
&lt;/fieldset&gt;</v>
      </c>
      <c r="D40" s="5" t="str">
        <f t="shared" si="2"/>
        <v>chair</v>
      </c>
      <c r="F40" s="3" t="str">
        <f t="shared" si="3"/>
        <v>&lt;fieldset class="half"&gt;
&lt;legend&gt;Chair&lt;/legend&gt;
&lt;label for="chair" class="checkbox"&gt;Chair&lt;input type="checkbox" name="chair" id="chair"&gt;&lt;/label&gt;
&lt;span class="error-message"&gt;&lt;/span&gt;
&lt;/fieldset&gt;</v>
      </c>
    </row>
    <row r="41" spans="1:6" x14ac:dyDescent="0.2">
      <c r="A41" s="5" t="str">
        <f t="shared" si="0"/>
        <v>blender</v>
      </c>
      <c r="C41" s="3" t="str">
        <f t="shared" si="1"/>
        <v>&lt;fieldset class="half"&gt;
&lt;legend&gt;Blender&lt;/legend&gt;
&lt;label for="blender" class="checkbox"&gt;Blender&lt;input type="checkbox" name="blender" id="blender"&gt;&lt;/label&gt;
&lt;span class="error-message"&gt;&lt;/span&gt;
&lt;/fieldset&gt;</v>
      </c>
      <c r="D41" s="5" t="str">
        <f t="shared" si="2"/>
        <v>decorative-pillow</v>
      </c>
      <c r="F41" s="3" t="str">
        <f t="shared" si="3"/>
        <v>&lt;fieldset class="half"&gt;
&lt;legend&gt;Decorative Pillow&lt;/legend&gt;
&lt;label for="decorative-pillow" class="checkbox"&gt;Decorative Pillow&lt;input type="checkbox" name="decorative-pillow" id="decorative-pillow"&gt;&lt;/label&gt;
&lt;span class="error-message"&gt;&lt;/span&gt;
&lt;/fieldset&gt;</v>
      </c>
    </row>
    <row r="42" spans="1:6" x14ac:dyDescent="0.2">
      <c r="A42" s="5" t="str">
        <f t="shared" si="0"/>
        <v>cutting-board</v>
      </c>
      <c r="C42" s="3" t="str">
        <f t="shared" si="1"/>
        <v>&lt;fieldset class="half"&gt;
&lt;legend&gt;Cutting Board&lt;/legend&gt;
&lt;label for="cutting-board" class="checkbox"&gt;Cutting Board&lt;input type="checkbox" name="cutting-board" id="cutting-board"&gt;&lt;/label&gt;
&lt;span class="error-message"&gt;&lt;/span&gt;
&lt;/fieldset&gt;</v>
      </c>
      <c r="D42" s="5" t="str">
        <f t="shared" si="2"/>
        <v>vase</v>
      </c>
      <c r="F42" s="3" t="str">
        <f t="shared" si="3"/>
        <v>&lt;fieldset class="half"&gt;
&lt;legend&gt;Vase&lt;/legend&gt;
&lt;label for="vase" class="checkbox"&gt;Vase&lt;input type="checkbox" name="vase" id="vase"&gt;&lt;/label&gt;
&lt;span class="error-message"&gt;&lt;/span&gt;
&lt;/fieldset&gt;</v>
      </c>
    </row>
    <row r="43" spans="1:6" x14ac:dyDescent="0.2">
      <c r="A43" s="5" t="str">
        <f t="shared" si="0"/>
        <v>serving-bowl</v>
      </c>
      <c r="C43" s="3" t="str">
        <f t="shared" si="1"/>
        <v>&lt;fieldset class="half"&gt;
&lt;legend&gt;Serving Bowl&lt;/legend&gt;
&lt;label for="serving-bowl" class="checkbox"&gt;Serving Bowl&lt;input type="checkbox" name="serving-bowl" id="serving-bowl"&gt;&lt;/label&gt;
&lt;span class="error-message"&gt;&lt;/span&gt;
&lt;/fieldset&gt;</v>
      </c>
      <c r="D43" s="5" t="str">
        <f t="shared" si="2"/>
        <v>tv</v>
      </c>
      <c r="F43" s="3" t="str">
        <f t="shared" si="3"/>
        <v>&lt;fieldset class="half"&gt;
&lt;legend&gt;TV&lt;/legend&gt;
&lt;label for="tv" class="checkbox"&gt;TV&lt;input type="checkbox" name="tv" id="tv"&gt;&lt;/label&gt;
&lt;span class="error-message"&gt;&lt;/span&gt;
&lt;/fieldset&gt;</v>
      </c>
    </row>
    <row r="44" spans="1:6" x14ac:dyDescent="0.2">
      <c r="A44" s="5" t="str">
        <f t="shared" si="0"/>
        <v>plate-ceramic</v>
      </c>
      <c r="C44" s="3" t="str">
        <f t="shared" si="1"/>
        <v>&lt;fieldset class="half"&gt;
&lt;legend&gt;Plate Ceramic&lt;/legend&gt;
&lt;label for="plate-ceramic" class="checkbox"&gt;Plate Ceramic&lt;input type="checkbox" name="plate-ceramic" id="plate-ceramic"&gt;&lt;/label&gt;
&lt;span class="error-message"&gt;&lt;/span&gt;
&lt;/fieldset&gt;</v>
      </c>
      <c r="D44" s="5" t="str">
        <f t="shared" si="2"/>
        <v>sofa</v>
      </c>
      <c r="F44" s="3" t="str">
        <f t="shared" si="3"/>
        <v>&lt;fieldset class="half"&gt;
&lt;legend&gt;Sofa&lt;/legend&gt;
&lt;label for="sofa" class="checkbox"&gt;Sofa&lt;input type="checkbox" name="sofa" id="sofa"&gt;&lt;/label&gt;
&lt;span class="error-message"&gt;&lt;/span&gt;
&lt;/fieldset&gt;</v>
      </c>
    </row>
    <row r="45" spans="1:6" x14ac:dyDescent="0.2">
      <c r="A45" s="5" t="str">
        <f t="shared" si="0"/>
        <v>pot-and-pan-set</v>
      </c>
      <c r="C45" s="3" t="str">
        <f t="shared" si="1"/>
        <v>&lt;fieldset class="half"&gt;
&lt;legend&gt;Pot and Pan Set&lt;/legend&gt;
&lt;label for="pot-and-pan-set" class="checkbox"&gt;Pot and Pan Set&lt;input type="checkbox" name="pot-and-pan-set" id="pot-and-pan-set"&gt;&lt;/label&gt;
&lt;span class="error-message"&gt;&lt;/span&gt;
&lt;/fieldset&gt;</v>
      </c>
      <c r="D45" s="5" t="str">
        <f t="shared" si="2"/>
        <v>candle</v>
      </c>
      <c r="F45" s="3" t="str">
        <f t="shared" si="3"/>
        <v>&lt;fieldset class="half"&gt;
&lt;legend&gt;Candle&lt;/legend&gt;
&lt;label for="candle" class="checkbox"&gt;Candle&lt;input type="checkbox" name="candle" id="candle"&gt;&lt;/label&gt;
&lt;span class="error-message"&gt;&lt;/span&gt;
&lt;/fieldset&gt;</v>
      </c>
    </row>
    <row r="46" spans="1:6" x14ac:dyDescent="0.2">
      <c r="A46" s="5" t="str">
        <f t="shared" si="0"/>
        <v>flatware-set</v>
      </c>
      <c r="C46" s="3" t="str">
        <f t="shared" si="1"/>
        <v>&lt;fieldset class="half"&gt;
&lt;legend&gt;Flatware Set&lt;/legend&gt;
&lt;label for="flatware-set" class="checkbox"&gt;Flatware Set&lt;input type="checkbox" name="flatware-set" id="flatware-set"&gt;&lt;/label&gt;
&lt;span class="error-message"&gt;&lt;/span&gt;
&lt;/fieldset&gt;</v>
      </c>
      <c r="D46" s="5" t="str">
        <f t="shared" si="2"/>
        <v>board-game</v>
      </c>
      <c r="F46" s="3" t="str">
        <f t="shared" si="3"/>
        <v>&lt;fieldset class="half"&gt;
&lt;legend&gt;Board Game&lt;/legend&gt;
&lt;label for="board-game" class="checkbox"&gt;Board Game&lt;input type="checkbox" name="board-game" id="board-game"&gt;&lt;/label&gt;
&lt;span class="error-message"&gt;&lt;/span&gt;
&lt;/fieldset&gt;</v>
      </c>
    </row>
    <row r="47" spans="1:6" x14ac:dyDescent="0.2">
      <c r="A47" s="5" t="str">
        <f t="shared" si="0"/>
        <v>mugs</v>
      </c>
      <c r="C47" s="3" t="str">
        <f t="shared" si="1"/>
        <v>&lt;fieldset class="half"&gt;
&lt;legend&gt;Mugs&lt;/legend&gt;
&lt;label for="mugs" class="checkbox"&gt;Mugs&lt;input type="checkbox" name="mugs" id="mugs"&gt;&lt;/label&gt;
&lt;span class="error-message"&gt;&lt;/span&gt;
&lt;/fieldset&gt;</v>
      </c>
      <c r="D47" s="5" t="str">
        <f t="shared" si="2"/>
        <v>dvd</v>
      </c>
      <c r="F47" s="3" t="str">
        <f t="shared" si="3"/>
        <v>&lt;fieldset class="half"&gt;
&lt;legend&gt;DVD&lt;/legend&gt;
&lt;label for="dvd" class="checkbox"&gt;DVD&lt;input type="checkbox" name="dvd" id="dvd"&gt;&lt;/label&gt;
&lt;span class="error-message"&gt;&lt;/span&gt;
&lt;/fieldset&gt;</v>
      </c>
    </row>
    <row r="48" spans="1:6" x14ac:dyDescent="0.2">
      <c r="A48" s="5" t="str">
        <f t="shared" si="0"/>
        <v>mixing-bowl</v>
      </c>
      <c r="C48" s="3" t="str">
        <f t="shared" si="1"/>
        <v>&lt;fieldset class="half"&gt;
&lt;legend&gt;Mixing Bowl&lt;/legend&gt;
&lt;label for="mixing-bowl" class="checkbox"&gt;Mixing Bowl&lt;input type="checkbox" name="mixing-bowl" id="mixing-bowl"&gt;&lt;/label&gt;
&lt;span class="error-message"&gt;&lt;/span&gt;
&lt;/fieldset&gt;</v>
      </c>
      <c r="D48" s="5" t="str">
        <f t="shared" si="2"/>
        <v>dvd-player</v>
      </c>
      <c r="F48" s="3" t="str">
        <f t="shared" si="3"/>
        <v>&lt;fieldset class="half"&gt;
&lt;legend&gt;DVD Player&lt;/legend&gt;
&lt;label for="dvd-player" class="checkbox"&gt;DVD Player&lt;input type="checkbox" name="dvd-player" id="dvd-player"&gt;&lt;/label&gt;
&lt;span class="error-message"&gt;&lt;/span&gt;
&lt;/fieldset&gt;</v>
      </c>
    </row>
    <row r="49" spans="1:6" x14ac:dyDescent="0.2">
      <c r="A49" s="5" t="str">
        <f t="shared" si="0"/>
        <v>serving-platter</v>
      </c>
      <c r="C49" s="3" t="str">
        <f t="shared" si="1"/>
        <v>&lt;fieldset class="half"&gt;
&lt;legend&gt;Serving Platter&lt;/legend&gt;
&lt;label for="serving-platter" class="checkbox"&gt;Serving Platter&lt;input type="checkbox" name="serving-platter" id="serving-platter"&gt;&lt;/label&gt;
&lt;span class="error-message"&gt;&lt;/span&gt;
&lt;/fieldset&gt;</v>
      </c>
      <c r="D49" s="5" t="str">
        <f t="shared" si="2"/>
        <v>blanket</v>
      </c>
      <c r="F49" s="3" t="str">
        <f t="shared" si="3"/>
        <v>&lt;fieldset class="half"&gt;
&lt;legend&gt;Blanket&lt;/legend&gt;
&lt;label for="blanket" class="checkbox"&gt;Blanket&lt;input type="checkbox" name="blanket" id="blanket"&gt;&lt;/label&gt;
&lt;span class="error-message"&gt;&lt;/span&gt;
&lt;/fieldset&gt;</v>
      </c>
    </row>
    <row r="50" spans="1:6" x14ac:dyDescent="0.2">
      <c r="A50" s="5" t="str">
        <f t="shared" si="0"/>
        <v>knife</v>
      </c>
      <c r="C50" s="3" t="str">
        <f t="shared" si="1"/>
        <v>&lt;fieldset class="half"&gt;
&lt;legend&gt;Knife&lt;/legend&gt;
&lt;label for="knife" class="checkbox"&gt;Knife&lt;input type="checkbox" name="knife" id="knife"&gt;&lt;/label&gt;
&lt;span class="error-message"&gt;&lt;/span&gt;
&lt;/fieldset&gt;</v>
      </c>
      <c r="D50" s="5" t="str">
        <f t="shared" si="2"/>
        <v>mirror</v>
      </c>
      <c r="F50" s="3" t="str">
        <f t="shared" si="3"/>
        <v>&lt;fieldset class="half"&gt;
&lt;legend&gt;Mirror&lt;/legend&gt;
&lt;label for="mirror" class="checkbox"&gt;Mirror&lt;input type="checkbox" name="mirror" id="mirror"&gt;&lt;/label&gt;
&lt;span class="error-message"&gt;&lt;/span&gt;
&lt;/fieldset&gt;</v>
      </c>
    </row>
    <row r="51" spans="1:6" x14ac:dyDescent="0.2">
      <c r="A51" s="5" t="str">
        <f t="shared" si="0"/>
        <v>measuring-cup</v>
      </c>
      <c r="C51" s="3" t="str">
        <f t="shared" si="1"/>
        <v>&lt;fieldset class="half"&gt;
&lt;legend&gt;Measuring Cup&lt;/legend&gt;
&lt;label for="measuring-cup" class="checkbox"&gt;Measuring Cup&lt;input type="checkbox" name="measuring-cup" id="measuring-cup"&gt;&lt;/label&gt;
&lt;span class="error-message"&gt;&lt;/span&gt;
&lt;/fieldset&gt;</v>
      </c>
      <c r="D51" s="5" t="str">
        <f t="shared" si="2"/>
        <v>basket</v>
      </c>
      <c r="F51" s="3" t="str">
        <f t="shared" si="3"/>
        <v>&lt;fieldset class="half"&gt;
&lt;legend&gt;Basket&lt;/legend&gt;
&lt;label for="basket" class="checkbox"&gt;Basket&lt;input type="checkbox" name="basket" id="basket"&gt;&lt;/label&gt;
&lt;span class="error-message"&gt;&lt;/span&gt;
&lt;/fieldset&gt;</v>
      </c>
    </row>
    <row r="52" spans="1:6" x14ac:dyDescent="0.2">
      <c r="A52" s="5" t="str">
        <f t="shared" si="0"/>
        <v>cake-pan</v>
      </c>
      <c r="C52" s="3" t="str">
        <f t="shared" si="1"/>
        <v>&lt;fieldset class="half"&gt;
&lt;legend&gt;Cake Pan&lt;/legend&gt;
&lt;label for="cake-pan" class="checkbox"&gt;Cake Pan&lt;input type="checkbox" name="cake-pan" id="cake-pan"&gt;&lt;/label&gt;
&lt;span class="error-message"&gt;&lt;/span&gt;
&lt;/fieldset&gt;</v>
      </c>
      <c r="D52" s="5" t="str">
        <f t="shared" si="2"/>
        <v>end-table</v>
      </c>
      <c r="F52" s="3" t="str">
        <f t="shared" si="3"/>
        <v>&lt;fieldset class="half"&gt;
&lt;legend&gt;End Table&lt;/legend&gt;
&lt;label for="end-table" class="checkbox"&gt;End Table&lt;input type="checkbox" name="end-table" id="end-table"&gt;&lt;/label&gt;
&lt;span class="error-message"&gt;&lt;/span&gt;
&lt;/fieldset&gt;</v>
      </c>
    </row>
    <row r="53" spans="1:6" x14ac:dyDescent="0.2">
      <c r="A53" s="5" t="str">
        <f t="shared" si="0"/>
        <v>dinnerware-set-fine-china</v>
      </c>
      <c r="C53" s="3" t="str">
        <f t="shared" si="1"/>
        <v>&lt;fieldset class="half"&gt;
&lt;legend&gt;Dinnerware Set Fine China&lt;/legend&gt;
&lt;label for="dinnerware-set-fine-china" class="checkbox"&gt;Dinnerware Set Fine China&lt;input type="checkbox" name="dinnerware-set-fine-china" id="dinnerware-set-fine-china"&gt;&lt;/label&gt;
&lt;span class="error-message"&gt;&lt;/span&gt;
&lt;/fieldset&gt;</v>
      </c>
      <c r="D53" s="5" t="str">
        <f t="shared" si="2"/>
        <v>curtains</v>
      </c>
      <c r="F53" s="3" t="str">
        <f t="shared" si="3"/>
        <v>&lt;fieldset class="half"&gt;
&lt;legend&gt;Curtains&lt;/legend&gt;
&lt;label for="curtains" class="checkbox"&gt;Curtains&lt;input type="checkbox" name="curtains" id="curtains"&gt;&lt;/label&gt;
&lt;span class="error-message"&gt;&lt;/span&gt;
&lt;/fieldset&gt;</v>
      </c>
    </row>
    <row r="54" spans="1:6" x14ac:dyDescent="0.2">
      <c r="A54" s="5" t="str">
        <f t="shared" si="0"/>
        <v>frying-pan</v>
      </c>
      <c r="C54" s="3" t="str">
        <f t="shared" si="1"/>
        <v>&lt;fieldset class="half"&gt;
&lt;legend&gt;Frying Pan&lt;/legend&gt;
&lt;label for="frying-pan" class="checkbox"&gt;Frying Pan&lt;input type="checkbox" name="frying-pan" id="frying-pan"&gt;&lt;/label&gt;
&lt;span class="error-message"&gt;&lt;/span&gt;
&lt;/fieldset&gt;</v>
      </c>
      <c r="D54" s="5" t="str">
        <f t="shared" si="2"/>
        <v>recliner</v>
      </c>
      <c r="F54" s="3" t="str">
        <f t="shared" si="3"/>
        <v>&lt;fieldset class="half"&gt;
&lt;legend&gt;Recliner&lt;/legend&gt;
&lt;label for="recliner" class="checkbox"&gt;Recliner&lt;input type="checkbox" name="recliner" id="recliner"&gt;&lt;/label&gt;
&lt;span class="error-message"&gt;&lt;/span&gt;
&lt;/fieldset&gt;</v>
      </c>
    </row>
    <row r="55" spans="1:6" x14ac:dyDescent="0.2">
      <c r="A55" s="5" t="str">
        <f t="shared" si="0"/>
        <v>microwave-oven</v>
      </c>
      <c r="C55" s="3" t="str">
        <f t="shared" si="1"/>
        <v>&lt;fieldset class="half"&gt;
&lt;legend&gt;Microwave Oven&lt;/legend&gt;
&lt;label for="microwave-oven" class="checkbox"&gt;Microwave Oven&lt;input type="checkbox" name="microwave-oven" id="microwave-oven"&gt;&lt;/label&gt;
&lt;span class="error-message"&gt;&lt;/span&gt;
&lt;/fieldset&gt;</v>
      </c>
      <c r="D55" s="5" t="str">
        <f t="shared" si="2"/>
        <v>tv-stand</v>
      </c>
      <c r="F55" s="3" t="str">
        <f t="shared" si="3"/>
        <v>&lt;fieldset class="half"&gt;
&lt;legend&gt;TV Stand&lt;/legend&gt;
&lt;label for="tv-stand" class="checkbox"&gt;TV Stand&lt;input type="checkbox" name="tv-stand" id="tv-stand"&gt;&lt;/label&gt;
&lt;span class="error-message"&gt;&lt;/span&gt;
&lt;/fieldset&gt;</v>
      </c>
    </row>
    <row r="56" spans="1:6" x14ac:dyDescent="0.2">
      <c r="A56" s="5" t="str">
        <f t="shared" si="0"/>
        <v>crock-pot</v>
      </c>
      <c r="C56" s="3" t="str">
        <f t="shared" si="1"/>
        <v>&lt;fieldset class="half"&gt;
&lt;legend&gt;Crock Pot&lt;/legend&gt;
&lt;label for="crock-pot" class="checkbox"&gt;Crock Pot&lt;input type="checkbox" name="crock-pot" id="crock-pot"&gt;&lt;/label&gt;
&lt;span class="error-message"&gt;&lt;/span&gt;
&lt;/fieldset&gt;</v>
      </c>
      <c r="D56" s="5" t="str">
        <f t="shared" si="2"/>
        <v>loveseat</v>
      </c>
      <c r="F56" s="3" t="str">
        <f t="shared" si="3"/>
        <v>&lt;fieldset class="half"&gt;
&lt;legend&gt;Loveseat&lt;/legend&gt;
&lt;label for="loveseat" class="checkbox"&gt;Loveseat&lt;input type="checkbox" name="loveseat" id="loveseat"&gt;&lt;/label&gt;
&lt;span class="error-message"&gt;&lt;/span&gt;
&lt;/fieldset&gt;</v>
      </c>
    </row>
    <row r="57" spans="1:6" x14ac:dyDescent="0.2">
      <c r="A57" s="5" t="str">
        <f t="shared" si="0"/>
        <v>wastebasket</v>
      </c>
      <c r="C57" s="3" t="str">
        <f t="shared" si="1"/>
        <v>&lt;fieldset class="half"&gt;
&lt;legend&gt;Wastebasket&lt;/legend&gt;
&lt;label for="wastebasket" class="checkbox"&gt;Wastebasket&lt;input type="checkbox" name="wastebasket" id="wastebasket"&gt;&lt;/label&gt;
&lt;span class="error-message"&gt;&lt;/span&gt;
&lt;/fieldset&gt;</v>
      </c>
      <c r="D57" s="5" t="str">
        <f t="shared" si="2"/>
        <v>ottoman</v>
      </c>
      <c r="F57" s="3" t="str">
        <f t="shared" si="3"/>
        <v>&lt;fieldset class="half"&gt;
&lt;legend&gt;Ottoman&lt;/legend&gt;
&lt;label for="ottoman" class="checkbox"&gt;Ottoman&lt;input type="checkbox" name="ottoman" id="ottoman"&gt;&lt;/label&gt;
&lt;span class="error-message"&gt;&lt;/span&gt;
&lt;/fieldset&gt;</v>
      </c>
    </row>
    <row r="58" spans="1:6" x14ac:dyDescent="0.2">
      <c r="A58" s="5" t="str">
        <f t="shared" si="0"/>
        <v>toaster</v>
      </c>
      <c r="C58" s="3" t="str">
        <f t="shared" si="1"/>
        <v>&lt;fieldset class="half"&gt;
&lt;legend&gt;Toaster&lt;/legend&gt;
&lt;label for="toaster" class="checkbox"&gt;Toaster&lt;input type="checkbox" name="toaster" id="toaster"&gt;&lt;/label&gt;
&lt;span class="error-message"&gt;&lt;/span&gt;
&lt;/fieldset&gt;</v>
      </c>
      <c r="D58" s="5" t="str">
        <f t="shared" si="2"/>
        <v>bookcase</v>
      </c>
      <c r="F58" s="3" t="str">
        <f t="shared" si="3"/>
        <v>&lt;fieldset class="half"&gt;
&lt;legend&gt;Bookcase&lt;/legend&gt;
&lt;label for="bookcase" class="checkbox"&gt;Bookcase&lt;input type="checkbox" name="bookcase" id="bookcase"&gt;&lt;/label&gt;
&lt;span class="error-message"&gt;&lt;/span&gt;
&lt;/fieldset&gt;</v>
      </c>
    </row>
  </sheetData>
  <sortState ref="C3:C27">
    <sortCondition ref="C3"/>
  </sortState>
  <mergeCells count="2">
    <mergeCell ref="C1:D1"/>
    <mergeCell ref="F1:G1"/>
  </mergeCells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"/>
  <sheetViews>
    <sheetView tabSelected="1" topLeftCell="C1" workbookViewId="0">
      <pane ySplit="1" topLeftCell="A2" activePane="bottomLeft" state="frozen"/>
      <selection pane="bottomLeft" activeCell="P2" sqref="P2"/>
    </sheetView>
  </sheetViews>
  <sheetFormatPr baseColWidth="10" defaultColWidth="11.1640625" defaultRowHeight="16" x14ac:dyDescent="0.2"/>
  <cols>
    <col min="1" max="1" width="12.1640625" style="5" bestFit="1" customWidth="1"/>
    <col min="2" max="2" width="20.83203125" style="7" customWidth="1"/>
    <col min="3" max="3" width="30.83203125" style="7" customWidth="1"/>
    <col min="4" max="4" width="10.83203125" style="5"/>
    <col min="5" max="7" width="6.83203125" style="5" customWidth="1"/>
    <col min="8" max="8" width="10.83203125" style="5"/>
    <col min="9" max="13" width="11.1640625" style="5"/>
    <col min="14" max="14" width="20.83203125" style="7" customWidth="1"/>
    <col min="15" max="15" width="20.83203125" style="5" customWidth="1"/>
    <col min="16" max="16384" width="11.1640625" style="5"/>
  </cols>
  <sheetData>
    <row r="1" spans="1:16" s="4" customFormat="1" ht="17" x14ac:dyDescent="0.2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  <c r="N1" s="6"/>
    </row>
    <row r="2" spans="1:16" ht="17" x14ac:dyDescent="0.2">
      <c r="A2" s="5">
        <v>1</v>
      </c>
      <c r="B2" s="7" t="s">
        <v>35</v>
      </c>
      <c r="C2" s="5" t="s">
        <v>66</v>
      </c>
      <c r="D2" s="5">
        <v>0</v>
      </c>
      <c r="E2" s="5">
        <v>1</v>
      </c>
      <c r="F2" s="5">
        <v>2</v>
      </c>
      <c r="G2" s="5">
        <v>0</v>
      </c>
      <c r="M2" s="5" t="str">
        <f>LOWER(SUBSTITUTE(TRIM(C2)," ","-"))</f>
        <v>spatula</v>
      </c>
      <c r="N2" s="5" t="str">
        <f>CONCATENATE("&lt;div class=""accordion inventory""&gt;",CHAR(10),CHAR(9),"&lt;input id=""item-",A2,""" type=""checkbox"" name=""item-",A2,""" class=""accordion""&gt;",CHAR(10),CHAR(9),"&lt;label for=""item-",A2,"""&gt;",CHAR(10),CHAR(9),CHAR(9),"&lt;div class=""item-number""&gt;Item Number:&amp;nbsp;&lt;span&gt;",A2,"&lt;/span&gt;&lt;/div&gt;",CHAR(10),CHAR(9),CHAR(9),"&lt;div class=""item-header""&gt;",CHAR(10),CHAR(9),CHAR(9),CHAR(9),"&lt;div class=""description""&gt;&lt;span&gt;Description&lt;/span&gt;&lt;p&gt;",C2,"&lt;/p&gt;&lt;/div&gt;",CHAR(10),CHAR(9),CHAR(9),CHAR(9),"&lt;div class=""cost""&gt;&lt;span&gt;Cost&lt;/span&gt;&lt;p&gt;&amp;#36;",D2,"&lt;/p&gt;&lt;/div&gt;",CHAR(10),CHAR(9),CHAR(9),CHAR(9),"&lt;div class=""qty""&gt;&lt;span&gt;Qty&lt;/span&gt;&lt;p&gt;",E2,"&lt;/p&gt;&lt;/div&gt;",CHAR(10),CHAR(9),CHAR(9),"&lt;/div&gt;",CHAR(10),CHAR(9),"&lt;/label&gt;",CHAR(10),CHAR(9),"&lt;div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value=""",E2,"""&gt;&lt;span class=""is-valid""&gt;&lt;/span&gt;&lt;/label&gt;",CHAR(10))</f>
        <v xml:space="preserve">&lt;div class="accordion inventory"&gt;
	&lt;input id="item-1" type="checkbox" name="item-1" class="accordion"&gt;
	&lt;label for="item-1"&gt;
		&lt;div class="item-number"&gt;Item Number:&amp;nbsp;&lt;span&gt;1&lt;/span&gt;&lt;/div&gt;
		&lt;div class="item-header"&gt;
			&lt;div class="description"&gt;&lt;span&gt;Description&lt;/span&gt;&lt;p&gt;Spatula&lt;/p&gt;&lt;/div&gt;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value="Spatula"&gt;&lt;span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" s="5" t="str">
        <f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value=""",G2,"""&gt;&lt;span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value=""",B2,"""&gt;&lt;span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" s="5" t="str">
        <f>N2&amp;O2</f>
        <v xml:space="preserve">&lt;div class="accordion inventory"&gt;
	&lt;input id="item-1" type="checkbox" name="item-1" class="accordion"&gt;
	&lt;label for="item-1"&gt;
		&lt;div class="item-number"&gt;Item Number:&amp;nbsp;&lt;span&gt;1&lt;/span&gt;&lt;/div&gt;
		&lt;div class="item-header"&gt;
			&lt;div class="description"&gt;&lt;span&gt;Description&lt;/span&gt;&lt;p&gt;Spatula&lt;/p&gt;&lt;/div&gt;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value="Spatula"&gt;&lt;span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" spans="1:16" ht="17" x14ac:dyDescent="0.2">
      <c r="A3" s="5">
        <v>2</v>
      </c>
      <c r="B3" s="7" t="s">
        <v>35</v>
      </c>
      <c r="C3" s="5" t="s">
        <v>67</v>
      </c>
      <c r="D3" s="5">
        <v>0</v>
      </c>
      <c r="E3" s="5">
        <v>1</v>
      </c>
      <c r="F3" s="5">
        <v>2</v>
      </c>
      <c r="G3" s="5">
        <v>0</v>
      </c>
      <c r="M3" s="5" t="str">
        <f t="shared" ref="M3:M47" si="0">LOWER(SUBSTITUTE(TRIM(C3)," ","-"))</f>
        <v>glasses</v>
      </c>
      <c r="N3" s="5" t="str">
        <f t="shared" ref="N3:N24" si="1">CONCATENATE("&lt;div class=""accordion inventory""&gt;",CHAR(10),CHAR(9),"&lt;input id=""item-",A3,""" type=""checkbox"" name=""item-",A3,""" class=""accordion""&gt;",CHAR(10),CHAR(9),"&lt;label for=""item-",A3,"""&gt;",CHAR(10),CHAR(9),CHAR(9),"&lt;div class=""item-number""&gt;Item Number:&amp;nbsp;&lt;span&gt;",A3,"&lt;/span&gt;&lt;/div&gt;",CHAR(10),CHAR(9),CHAR(9),"&lt;div class=""item-header""&gt;",CHAR(10),CHAR(9),CHAR(9),CHAR(9),"&lt;div class=""description""&gt;&lt;span&gt;Description&lt;/span&gt;&lt;p&gt;",C3,"&lt;/p&gt;&lt;/div&gt;",CHAR(10),CHAR(9),CHAR(9),CHAR(9),"&lt;div class=""cost""&gt;&lt;span&gt;Cost&lt;/span&gt;&lt;p&gt;&amp;#36;",D3,"&lt;/p&gt;&lt;/div&gt;",CHAR(10),CHAR(9),CHAR(9),CHAR(9),"&lt;div class=""qty""&gt;&lt;span&gt;Qty&lt;/span&gt;&lt;p&gt;",E3,"&lt;/p&gt;&lt;/div&gt;",CHAR(10),CHAR(9),CHAR(9),"&lt;/div&gt;",CHAR(10),CHAR(9),"&lt;/label&gt;",CHAR(10),CHAR(9),"&lt;div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value=""",E3,"""&gt;&lt;span class=""is-valid""&gt;&lt;/span&gt;&lt;/label&gt;",CHAR(10))</f>
        <v xml:space="preserve">&lt;div class="accordion inventory"&gt;
	&lt;input id="item-2" type="checkbox" name="item-2" class="accordion"&gt;
	&lt;label for="item-2"&gt;
		&lt;div class="item-number"&gt;Item Number:&amp;nbsp;&lt;span&gt;2&lt;/span&gt;&lt;/div&gt;
		&lt;div class="item-header"&gt;
			&lt;div class="description"&gt;&lt;span&gt;Description&lt;/span&gt;&lt;p&gt;Glasses&lt;/p&gt;&lt;/div&gt;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value="Glasses"&gt;&lt;span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" s="5" t="str">
        <f t="shared" ref="O3:O24" si="2"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value=""",G3,"""&gt;&lt;span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value=""",B3,"""&gt;&lt;span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" s="5" t="str">
        <f t="shared" ref="P3:P47" si="3">N3&amp;O3</f>
        <v xml:space="preserve">&lt;div class="accordion inventory"&gt;
	&lt;input id="item-2" type="checkbox" name="item-2" class="accordion"&gt;
	&lt;label for="item-2"&gt;
		&lt;div class="item-number"&gt;Item Number:&amp;nbsp;&lt;span&gt;2&lt;/span&gt;&lt;/div&gt;
		&lt;div class="item-header"&gt;
			&lt;div class="description"&gt;&lt;span&gt;Description&lt;/span&gt;&lt;p&gt;Glasses&lt;/p&gt;&lt;/div&gt;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value="Glasses"&gt;&lt;span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" spans="1:16" ht="17" x14ac:dyDescent="0.2">
      <c r="A4" s="5">
        <v>3</v>
      </c>
      <c r="B4" s="7" t="s">
        <v>35</v>
      </c>
      <c r="C4" s="5" t="s">
        <v>71</v>
      </c>
      <c r="D4" s="5">
        <v>0</v>
      </c>
      <c r="E4" s="5">
        <v>1</v>
      </c>
      <c r="F4" s="5">
        <v>2</v>
      </c>
      <c r="G4" s="5">
        <v>0</v>
      </c>
      <c r="M4" s="5" t="str">
        <f t="shared" si="0"/>
        <v>cleaning-fluid</v>
      </c>
      <c r="N4" s="5" t="str">
        <f t="shared" si="1"/>
        <v xml:space="preserve">&lt;div class="accordion inventory"&gt;
	&lt;input id="item-3" type="checkbox" name="item-3" class="accordion"&gt;
	&lt;label for="item-3"&gt;
		&lt;div class="item-number"&gt;Item Number:&amp;nbsp;&lt;span&gt;3&lt;/span&gt;&lt;/div&gt;
		&lt;div class="item-header"&gt;
			&lt;div class="description"&gt;&lt;span&gt;Description&lt;/span&gt;&lt;p&gt;Cleaning Fluid&lt;/p&gt;&lt;/div&gt;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value="Cleaning Fluid"&gt;&lt;span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" s="5" t="str">
        <f t="shared" si="3"/>
        <v xml:space="preserve">&lt;div class="accordion inventory"&gt;
	&lt;input id="item-3" type="checkbox" name="item-3" class="accordion"&gt;
	&lt;label for="item-3"&gt;
		&lt;div class="item-number"&gt;Item Number:&amp;nbsp;&lt;span&gt;3&lt;/span&gt;&lt;/div&gt;
		&lt;div class="item-header"&gt;
			&lt;div class="description"&gt;&lt;span&gt;Description&lt;/span&gt;&lt;p&gt;Cleaning Fluid&lt;/p&gt;&lt;/div&gt;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value="Cleaning Fluid"&gt;&lt;span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5" spans="1:16" ht="17" x14ac:dyDescent="0.2">
      <c r="A5" s="5">
        <v>4</v>
      </c>
      <c r="B5" s="7" t="s">
        <v>35</v>
      </c>
      <c r="C5" s="5" t="s">
        <v>72</v>
      </c>
      <c r="D5" s="5">
        <v>0</v>
      </c>
      <c r="E5" s="5">
        <v>1</v>
      </c>
      <c r="F5" s="5">
        <v>2</v>
      </c>
      <c r="G5" s="5">
        <v>0</v>
      </c>
      <c r="M5" s="5" t="str">
        <f t="shared" si="0"/>
        <v>coffee-maker</v>
      </c>
      <c r="N5" s="5" t="str">
        <f t="shared" si="1"/>
        <v xml:space="preserve">&lt;div class="accordion inventory"&gt;
	&lt;input id="item-4" type="checkbox" name="item-4" class="accordion"&gt;
	&lt;label for="item-4"&gt;
		&lt;div class="item-number"&gt;Item Number:&amp;nbsp;&lt;span&gt;4&lt;/span&gt;&lt;/div&gt;
		&lt;div class="item-header"&gt;
			&lt;div class="description"&gt;&lt;span&gt;Description&lt;/span&gt;&lt;p&gt;Coffee Maker&lt;/p&gt;&lt;/div&gt;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Maker"&gt;&lt;span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5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5" s="5" t="str">
        <f t="shared" si="3"/>
        <v xml:space="preserve">&lt;div class="accordion inventory"&gt;
	&lt;input id="item-4" type="checkbox" name="item-4" class="accordion"&gt;
	&lt;label for="item-4"&gt;
		&lt;div class="item-number"&gt;Item Number:&amp;nbsp;&lt;span&gt;4&lt;/span&gt;&lt;/div&gt;
		&lt;div class="item-header"&gt;
			&lt;div class="description"&gt;&lt;span&gt;Description&lt;/span&gt;&lt;p&gt;Coffee Maker&lt;/p&gt;&lt;/div&gt;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Maker"&gt;&lt;span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6" spans="1:16" ht="17" x14ac:dyDescent="0.2">
      <c r="A6" s="5">
        <v>5</v>
      </c>
      <c r="B6" s="7" t="s">
        <v>35</v>
      </c>
      <c r="C6" s="5" t="s">
        <v>68</v>
      </c>
      <c r="D6" s="5">
        <v>0</v>
      </c>
      <c r="E6" s="5">
        <v>1</v>
      </c>
      <c r="F6" s="5">
        <v>2</v>
      </c>
      <c r="G6" s="5">
        <v>0</v>
      </c>
      <c r="M6" s="5" t="str">
        <f t="shared" si="0"/>
        <v>refrigerator</v>
      </c>
      <c r="N6" s="5" t="str">
        <f t="shared" si="1"/>
        <v xml:space="preserve">&lt;div class="accordion inventory"&gt;
	&lt;input id="item-5" type="checkbox" name="item-5" class="accordion"&gt;
	&lt;label for="item-5"&gt;
		&lt;div class="item-number"&gt;Item Number:&amp;nbsp;&lt;span&gt;5&lt;/span&gt;&lt;/div&gt;
		&lt;div class="item-header"&gt;
			&lt;div class="description"&gt;&lt;span&gt;Description&lt;/span&gt;&lt;p&gt;Refrigerator&lt;/p&gt;&lt;/div&gt;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value="Refrigerator"&gt;&lt;span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6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6" s="5" t="str">
        <f t="shared" si="3"/>
        <v xml:space="preserve">&lt;div class="accordion inventory"&gt;
	&lt;input id="item-5" type="checkbox" name="item-5" class="accordion"&gt;
	&lt;label for="item-5"&gt;
		&lt;div class="item-number"&gt;Item Number:&amp;nbsp;&lt;span&gt;5&lt;/span&gt;&lt;/div&gt;
		&lt;div class="item-header"&gt;
			&lt;div class="description"&gt;&lt;span&gt;Description&lt;/span&gt;&lt;p&gt;Refrigerator&lt;/p&gt;&lt;/div&gt;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value="Refrigerator"&gt;&lt;span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7" spans="1:16" ht="17" x14ac:dyDescent="0.2">
      <c r="A7" s="5">
        <v>6</v>
      </c>
      <c r="B7" s="7" t="s">
        <v>35</v>
      </c>
      <c r="C7" s="5" t="s">
        <v>74</v>
      </c>
      <c r="D7" s="5">
        <v>0</v>
      </c>
      <c r="E7" s="5">
        <v>1</v>
      </c>
      <c r="F7" s="5">
        <v>2</v>
      </c>
      <c r="G7" s="5">
        <v>0</v>
      </c>
      <c r="M7" s="5" t="str">
        <f t="shared" si="0"/>
        <v>baking-dish</v>
      </c>
      <c r="N7" s="5" t="str">
        <f t="shared" si="1"/>
        <v xml:space="preserve">&lt;div class="accordion inventory"&gt;
	&lt;input id="item-6" type="checkbox" name="item-6" class="accordion"&gt;
	&lt;label for="item-6"&gt;
		&lt;div class="item-number"&gt;Item Number:&amp;nbsp;&lt;span&gt;6&lt;/span&gt;&lt;/div&gt;
		&lt;div class="item-header"&gt;
			&lt;div class="description"&gt;&lt;span&gt;Description&lt;/span&gt;&lt;p&gt;Baking Dish&lt;/p&gt;&lt;/div&gt;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value="Baking Dish"&gt;&lt;span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7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7" s="5" t="str">
        <f t="shared" si="3"/>
        <v xml:space="preserve">&lt;div class="accordion inventory"&gt;
	&lt;input id="item-6" type="checkbox" name="item-6" class="accordion"&gt;
	&lt;label for="item-6"&gt;
		&lt;div class="item-number"&gt;Item Number:&amp;nbsp;&lt;span&gt;6&lt;/span&gt;&lt;/div&gt;
		&lt;div class="item-header"&gt;
			&lt;div class="description"&gt;&lt;span&gt;Description&lt;/span&gt;&lt;p&gt;Baking Dish&lt;/p&gt;&lt;/div&gt;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value="Baking Dish"&gt;&lt;span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8" spans="1:16" ht="17" x14ac:dyDescent="0.2">
      <c r="A8" s="5">
        <v>7</v>
      </c>
      <c r="B8" s="7" t="s">
        <v>35</v>
      </c>
      <c r="C8" s="5" t="s">
        <v>75</v>
      </c>
      <c r="D8" s="5">
        <v>0</v>
      </c>
      <c r="E8" s="5">
        <v>1</v>
      </c>
      <c r="F8" s="5">
        <v>2</v>
      </c>
      <c r="G8" s="5">
        <v>0</v>
      </c>
      <c r="M8" s="5" t="str">
        <f t="shared" si="0"/>
        <v>cutting-board</v>
      </c>
      <c r="N8" s="5" t="str">
        <f t="shared" si="1"/>
        <v xml:space="preserve">&lt;div class="accordion inventory"&gt;
	&lt;input id="item-7" type="checkbox" name="item-7" class="accordion"&gt;
	&lt;label for="item-7"&gt;
		&lt;div class="item-number"&gt;Item Number:&amp;nbsp;&lt;span&gt;7&lt;/span&gt;&lt;/div&gt;
		&lt;div class="item-header"&gt;
			&lt;div class="description"&gt;&lt;span&gt;Description&lt;/span&gt;&lt;p&gt;Cutting Board&lt;/p&gt;&lt;/div&gt;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value="Cutting Board"&gt;&lt;span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8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8" s="5" t="str">
        <f t="shared" si="3"/>
        <v xml:space="preserve">&lt;div class="accordion inventory"&gt;
	&lt;input id="item-7" type="checkbox" name="item-7" class="accordion"&gt;
	&lt;label for="item-7"&gt;
		&lt;div class="item-number"&gt;Item Number:&amp;nbsp;&lt;span&gt;7&lt;/span&gt;&lt;/div&gt;
		&lt;div class="item-header"&gt;
			&lt;div class="description"&gt;&lt;span&gt;Description&lt;/span&gt;&lt;p&gt;Cutting Board&lt;/p&gt;&lt;/div&gt;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value="Cutting Board"&gt;&lt;span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9" spans="1:16" ht="17" x14ac:dyDescent="0.2">
      <c r="A9" s="5">
        <v>8</v>
      </c>
      <c r="B9" s="7" t="s">
        <v>35</v>
      </c>
      <c r="C9" s="5" t="s">
        <v>76</v>
      </c>
      <c r="D9" s="5">
        <v>0</v>
      </c>
      <c r="E9" s="5">
        <v>1</v>
      </c>
      <c r="F9" s="5">
        <v>2</v>
      </c>
      <c r="G9" s="5">
        <v>0</v>
      </c>
      <c r="M9" s="5" t="str">
        <f t="shared" si="0"/>
        <v>serving-bowl</v>
      </c>
      <c r="N9" s="5" t="str">
        <f t="shared" si="1"/>
        <v xml:space="preserve">&lt;div class="accordion inventory"&gt;
	&lt;input id="item-8" type="checkbox" name="item-8" class="accordion"&gt;
	&lt;label for="item-8"&gt;
		&lt;div class="item-number"&gt;Item Number:&amp;nbsp;&lt;span&gt;8&lt;/span&gt;&lt;/div&gt;
		&lt;div class="item-header"&gt;
			&lt;div class="description"&gt;&lt;span&gt;Description&lt;/span&gt;&lt;p&gt;Serving Bowl&lt;/p&gt;&lt;/div&gt;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9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9" s="5" t="str">
        <f t="shared" si="3"/>
        <v xml:space="preserve">&lt;div class="accordion inventory"&gt;
	&lt;input id="item-8" type="checkbox" name="item-8" class="accordion"&gt;
	&lt;label for="item-8"&gt;
		&lt;div class="item-number"&gt;Item Number:&amp;nbsp;&lt;span&gt;8&lt;/span&gt;&lt;/div&gt;
		&lt;div class="item-header"&gt;
			&lt;div class="description"&gt;&lt;span&gt;Description&lt;/span&gt;&lt;p&gt;Serving Bowl&lt;/p&gt;&lt;/div&gt;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0" spans="1:16" ht="17" x14ac:dyDescent="0.2">
      <c r="A10" s="5">
        <v>9</v>
      </c>
      <c r="B10" s="7" t="s">
        <v>35</v>
      </c>
      <c r="C10" s="5" t="s">
        <v>77</v>
      </c>
      <c r="D10" s="5">
        <v>0</v>
      </c>
      <c r="E10" s="5">
        <v>1</v>
      </c>
      <c r="F10" s="5">
        <v>2</v>
      </c>
      <c r="G10" s="5">
        <v>0</v>
      </c>
      <c r="M10" s="5" t="str">
        <f t="shared" si="0"/>
        <v>plate-ceramic</v>
      </c>
      <c r="N10" s="5" t="str">
        <f t="shared" si="1"/>
        <v xml:space="preserve">&lt;div class="accordion inventory"&gt;
	&lt;input id="item-9" type="checkbox" name="item-9" class="accordion"&gt;
	&lt;label for="item-9"&gt;
		&lt;div class="item-number"&gt;Item Number:&amp;nbsp;&lt;span&gt;9&lt;/span&gt;&lt;/div&gt;
		&lt;div class="item-header"&gt;
			&lt;div class="description"&gt;&lt;span&gt;Description&lt;/span&gt;&lt;p&gt;Plate Ceramic&lt;/p&gt;&lt;/div&gt;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value="Plate Ceramic"&gt;&lt;span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0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0" s="5" t="str">
        <f t="shared" si="3"/>
        <v xml:space="preserve">&lt;div class="accordion inventory"&gt;
	&lt;input id="item-9" type="checkbox" name="item-9" class="accordion"&gt;
	&lt;label for="item-9"&gt;
		&lt;div class="item-number"&gt;Item Number:&amp;nbsp;&lt;span&gt;9&lt;/span&gt;&lt;/div&gt;
		&lt;div class="item-header"&gt;
			&lt;div class="description"&gt;&lt;span&gt;Description&lt;/span&gt;&lt;p&gt;Plate Ceramic&lt;/p&gt;&lt;/div&gt;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value="Plate Ceramic"&gt;&lt;span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1" spans="1:16" ht="17" x14ac:dyDescent="0.2">
      <c r="A11" s="5">
        <v>10</v>
      </c>
      <c r="B11" s="7" t="s">
        <v>35</v>
      </c>
      <c r="C11" s="5" t="s">
        <v>78</v>
      </c>
      <c r="D11" s="5">
        <v>0</v>
      </c>
      <c r="E11" s="5">
        <v>1</v>
      </c>
      <c r="F11" s="5">
        <v>2</v>
      </c>
      <c r="G11" s="5">
        <v>0</v>
      </c>
      <c r="M11" s="5" t="str">
        <f t="shared" si="0"/>
        <v>pot-and-pan-set</v>
      </c>
      <c r="N11" s="5" t="str">
        <f t="shared" si="1"/>
        <v xml:space="preserve">&lt;div class="accordion inventory"&gt;
	&lt;input id="item-10" type="checkbox" name="item-10" class="accordion"&gt;
	&lt;label for="item-10"&gt;
		&lt;div class="item-number"&gt;Item Number:&amp;nbsp;&lt;span&gt;10&lt;/span&gt;&lt;/div&gt;
		&lt;div class="item-header"&gt;
			&lt;div class="description"&gt;&lt;span&gt;Description&lt;/span&gt;&lt;p&gt;Pot and Pan Set&lt;/p&gt;&lt;/div&gt;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value="Pot and Pan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1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1" s="5" t="str">
        <f t="shared" si="3"/>
        <v xml:space="preserve">&lt;div class="accordion inventory"&gt;
	&lt;input id="item-10" type="checkbox" name="item-10" class="accordion"&gt;
	&lt;label for="item-10"&gt;
		&lt;div class="item-number"&gt;Item Number:&amp;nbsp;&lt;span&gt;10&lt;/span&gt;&lt;/div&gt;
		&lt;div class="item-header"&gt;
			&lt;div class="description"&gt;&lt;span&gt;Description&lt;/span&gt;&lt;p&gt;Pot and Pan Set&lt;/p&gt;&lt;/div&gt;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value="Pot and Pan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2" spans="1:16" ht="17" x14ac:dyDescent="0.2">
      <c r="A12" s="5">
        <v>11</v>
      </c>
      <c r="B12" s="7" t="s">
        <v>35</v>
      </c>
      <c r="C12" s="5" t="s">
        <v>79</v>
      </c>
      <c r="D12" s="5">
        <v>0</v>
      </c>
      <c r="E12" s="5">
        <v>1</v>
      </c>
      <c r="F12" s="5">
        <v>2</v>
      </c>
      <c r="G12" s="5">
        <v>0</v>
      </c>
      <c r="M12" s="5" t="str">
        <f t="shared" si="0"/>
        <v>flatware-set</v>
      </c>
      <c r="N12" s="5" t="str">
        <f t="shared" si="1"/>
        <v xml:space="preserve">&lt;div class="accordion inventory"&gt;
	&lt;input id="item-11" type="checkbox" name="item-11" class="accordion"&gt;
	&lt;label for="item-11"&gt;
		&lt;div class="item-number"&gt;Item Number:&amp;nbsp;&lt;span&gt;11&lt;/span&gt;&lt;/div&gt;
		&lt;div class="item-header"&gt;
			&lt;div class="description"&gt;&lt;span&gt;Description&lt;/span&gt;&lt;p&gt;Flatware Set&lt;/p&gt;&lt;/div&gt;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value="Flatware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2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2" s="5" t="str">
        <f t="shared" si="3"/>
        <v xml:space="preserve">&lt;div class="accordion inventory"&gt;
	&lt;input id="item-11" type="checkbox" name="item-11" class="accordion"&gt;
	&lt;label for="item-11"&gt;
		&lt;div class="item-number"&gt;Item Number:&amp;nbsp;&lt;span&gt;11&lt;/span&gt;&lt;/div&gt;
		&lt;div class="item-header"&gt;
			&lt;div class="description"&gt;&lt;span&gt;Description&lt;/span&gt;&lt;p&gt;Flatware Set&lt;/p&gt;&lt;/div&gt;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value="Flatware Set"&gt;&lt;span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3" spans="1:16" ht="17" x14ac:dyDescent="0.2">
      <c r="A13" s="5">
        <v>12</v>
      </c>
      <c r="B13" s="7" t="s">
        <v>35</v>
      </c>
      <c r="C13" s="5" t="s">
        <v>70</v>
      </c>
      <c r="D13" s="5">
        <v>0</v>
      </c>
      <c r="E13" s="5">
        <v>1</v>
      </c>
      <c r="F13" s="5">
        <v>2</v>
      </c>
      <c r="G13" s="5">
        <v>0</v>
      </c>
      <c r="M13" s="5" t="str">
        <f t="shared" si="0"/>
        <v>mugs</v>
      </c>
      <c r="N13" s="5" t="str">
        <f t="shared" si="1"/>
        <v xml:space="preserve">&lt;div class="accordion inventory"&gt;
	&lt;input id="item-12" type="checkbox" name="item-12" class="accordion"&gt;
	&lt;label for="item-12"&gt;
		&lt;div class="item-number"&gt;Item Number:&amp;nbsp;&lt;span&gt;12&lt;/span&gt;&lt;/div&gt;
		&lt;div class="item-header"&gt;
			&lt;div class="description"&gt;&lt;span&gt;Description&lt;/span&gt;&lt;p&gt;Mugs&lt;/p&gt;&lt;/div&gt;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value="Mugs"&gt;&lt;span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3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3" s="5" t="str">
        <f t="shared" si="3"/>
        <v xml:space="preserve">&lt;div class="accordion inventory"&gt;
	&lt;input id="item-12" type="checkbox" name="item-12" class="accordion"&gt;
	&lt;label for="item-12"&gt;
		&lt;div class="item-number"&gt;Item Number:&amp;nbsp;&lt;span&gt;12&lt;/span&gt;&lt;/div&gt;
		&lt;div class="item-header"&gt;
			&lt;div class="description"&gt;&lt;span&gt;Description&lt;/span&gt;&lt;p&gt;Mugs&lt;/p&gt;&lt;/div&gt;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value="Mugs"&gt;&lt;span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4" spans="1:16" ht="17" x14ac:dyDescent="0.2">
      <c r="A14" s="5">
        <v>13</v>
      </c>
      <c r="B14" s="7" t="s">
        <v>35</v>
      </c>
      <c r="C14" s="5" t="s">
        <v>80</v>
      </c>
      <c r="D14" s="5">
        <v>0</v>
      </c>
      <c r="E14" s="5">
        <v>1</v>
      </c>
      <c r="F14" s="5">
        <v>2</v>
      </c>
      <c r="G14" s="5">
        <v>0</v>
      </c>
      <c r="M14" s="5" t="str">
        <f t="shared" si="0"/>
        <v>mixing-bowl</v>
      </c>
      <c r="N14" s="5" t="str">
        <f t="shared" si="1"/>
        <v xml:space="preserve">&lt;div class="accordion inventory"&gt;
	&lt;input id="item-13" type="checkbox" name="item-13" class="accordion"&gt;
	&lt;label for="item-13"&gt;
		&lt;div class="item-number"&gt;Item Number:&amp;nbsp;&lt;span&gt;13&lt;/span&gt;&lt;/div&gt;
		&lt;div class="item-header"&gt;
			&lt;div class="description"&gt;&lt;span&gt;Description&lt;/span&gt;&lt;p&gt;Mixing Bowl&lt;/p&gt;&lt;/div&gt;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value="Mixing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4" s="5" t="str">
        <f t="shared" si="3"/>
        <v xml:space="preserve">&lt;div class="accordion inventory"&gt;
	&lt;input id="item-13" type="checkbox" name="item-13" class="accordion"&gt;
	&lt;label for="item-13"&gt;
		&lt;div class="item-number"&gt;Item Number:&amp;nbsp;&lt;span&gt;13&lt;/span&gt;&lt;/div&gt;
		&lt;div class="item-header"&gt;
			&lt;div class="description"&gt;&lt;span&gt;Description&lt;/span&gt;&lt;p&gt;Mixing Bowl&lt;/p&gt;&lt;/div&gt;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value="Mixing Bowl"&gt;&lt;span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5" spans="1:16" ht="17" x14ac:dyDescent="0.2">
      <c r="A15" s="5">
        <v>14</v>
      </c>
      <c r="B15" s="7" t="s">
        <v>35</v>
      </c>
      <c r="C15" s="5" t="s">
        <v>81</v>
      </c>
      <c r="D15" s="5">
        <v>0</v>
      </c>
      <c r="E15" s="5">
        <v>1</v>
      </c>
      <c r="F15" s="5">
        <v>2</v>
      </c>
      <c r="G15" s="5">
        <v>0</v>
      </c>
      <c r="M15" s="5" t="str">
        <f t="shared" si="0"/>
        <v>serving-platter</v>
      </c>
      <c r="N15" s="5" t="str">
        <f t="shared" si="1"/>
        <v xml:space="preserve">&lt;div class="accordion inventory"&gt;
	&lt;input id="item-14" type="checkbox" name="item-14" class="accordion"&gt;
	&lt;label for="item-14"&gt;
		&lt;div class="item-number"&gt;Item Number:&amp;nbsp;&lt;span&gt;14&lt;/span&gt;&lt;/div&gt;
		&lt;div class="item-header"&gt;
			&lt;div class="description"&gt;&lt;span&gt;Description&lt;/span&gt;&lt;p&gt;Serving Platter&lt;/p&gt;&lt;/div&gt;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Platter"&gt;&lt;span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5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5" s="5" t="str">
        <f t="shared" si="3"/>
        <v xml:space="preserve">&lt;div class="accordion inventory"&gt;
	&lt;input id="item-14" type="checkbox" name="item-14" class="accordion"&gt;
	&lt;label for="item-14"&gt;
		&lt;div class="item-number"&gt;Item Number:&amp;nbsp;&lt;span&gt;14&lt;/span&gt;&lt;/div&gt;
		&lt;div class="item-header"&gt;
			&lt;div class="description"&gt;&lt;span&gt;Description&lt;/span&gt;&lt;p&gt;Serving Platter&lt;/p&gt;&lt;/div&gt;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value="Serving Platter"&gt;&lt;span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6" spans="1:16" ht="17" x14ac:dyDescent="0.2">
      <c r="A16" s="5">
        <v>15</v>
      </c>
      <c r="B16" s="7" t="s">
        <v>35</v>
      </c>
      <c r="C16" s="5" t="s">
        <v>90</v>
      </c>
      <c r="D16" s="5">
        <v>0</v>
      </c>
      <c r="E16" s="5">
        <v>1</v>
      </c>
      <c r="F16" s="5">
        <v>2</v>
      </c>
      <c r="G16" s="5">
        <v>0</v>
      </c>
      <c r="M16" s="5" t="str">
        <f t="shared" si="0"/>
        <v>knife</v>
      </c>
      <c r="N16" s="5" t="str">
        <f t="shared" si="1"/>
        <v xml:space="preserve">&lt;div class="accordion inventory"&gt;
	&lt;input id="item-15" type="checkbox" name="item-15" class="accordion"&gt;
	&lt;label for="item-15"&gt;
		&lt;div class="item-number"&gt;Item Number:&amp;nbsp;&lt;span&gt;15&lt;/span&gt;&lt;/div&gt;
		&lt;div class="item-header"&gt;
			&lt;div class="description"&gt;&lt;span&gt;Description&lt;/span&gt;&lt;p&gt;Knife&lt;/p&gt;&lt;/div&gt;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value="Knife"&gt;&lt;span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6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6" s="5" t="str">
        <f t="shared" si="3"/>
        <v xml:space="preserve">&lt;div class="accordion inventory"&gt;
	&lt;input id="item-15" type="checkbox" name="item-15" class="accordion"&gt;
	&lt;label for="item-15"&gt;
		&lt;div class="item-number"&gt;Item Number:&amp;nbsp;&lt;span&gt;15&lt;/span&gt;&lt;/div&gt;
		&lt;div class="item-header"&gt;
			&lt;div class="description"&gt;&lt;span&gt;Description&lt;/span&gt;&lt;p&gt;Knife&lt;/p&gt;&lt;/div&gt;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value="Knife"&gt;&lt;span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7" spans="1:16" ht="17" x14ac:dyDescent="0.2">
      <c r="A17" s="5">
        <v>16</v>
      </c>
      <c r="B17" s="7" t="s">
        <v>35</v>
      </c>
      <c r="C17" s="5" t="s">
        <v>82</v>
      </c>
      <c r="D17" s="5">
        <v>0</v>
      </c>
      <c r="E17" s="5">
        <v>1</v>
      </c>
      <c r="F17" s="5">
        <v>2</v>
      </c>
      <c r="G17" s="5">
        <v>0</v>
      </c>
      <c r="M17" s="5" t="str">
        <f t="shared" si="0"/>
        <v>measuring-cup</v>
      </c>
      <c r="N17" s="5" t="str">
        <f t="shared" si="1"/>
        <v xml:space="preserve">&lt;div class="accordion inventory"&gt;
	&lt;input id="item-16" type="checkbox" name="item-16" class="accordion"&gt;
	&lt;label for="item-16"&gt;
		&lt;div class="item-number"&gt;Item Number:&amp;nbsp;&lt;span&gt;16&lt;/span&gt;&lt;/div&gt;
		&lt;div class="item-header"&gt;
			&lt;div class="description"&gt;&lt;span&gt;Description&lt;/span&gt;&lt;p&gt;Measuring Cup&lt;/p&gt;&lt;/div&gt;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value="Measuring Cup"&gt;&lt;span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7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7" s="5" t="str">
        <f t="shared" si="3"/>
        <v xml:space="preserve">&lt;div class="accordion inventory"&gt;
	&lt;input id="item-16" type="checkbox" name="item-16" class="accordion"&gt;
	&lt;label for="item-16"&gt;
		&lt;div class="item-number"&gt;Item Number:&amp;nbsp;&lt;span&gt;16&lt;/span&gt;&lt;/div&gt;
		&lt;div class="item-header"&gt;
			&lt;div class="description"&gt;&lt;span&gt;Description&lt;/span&gt;&lt;p&gt;Measuring Cup&lt;/p&gt;&lt;/div&gt;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value="Measuring Cup"&gt;&lt;span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8" spans="1:16" ht="17" x14ac:dyDescent="0.2">
      <c r="A18" s="5">
        <v>17</v>
      </c>
      <c r="B18" s="7" t="s">
        <v>35</v>
      </c>
      <c r="C18" s="5" t="s">
        <v>83</v>
      </c>
      <c r="D18" s="5">
        <v>0</v>
      </c>
      <c r="E18" s="5">
        <v>1</v>
      </c>
      <c r="F18" s="5">
        <v>2</v>
      </c>
      <c r="G18" s="5">
        <v>0</v>
      </c>
      <c r="M18" s="5" t="str">
        <f t="shared" si="0"/>
        <v>cake-pan</v>
      </c>
      <c r="N18" s="5" t="str">
        <f t="shared" si="1"/>
        <v xml:space="preserve">&lt;div class="accordion inventory"&gt;
	&lt;input id="item-17" type="checkbox" name="item-17" class="accordion"&gt;
	&lt;label for="item-17"&gt;
		&lt;div class="item-number"&gt;Item Number:&amp;nbsp;&lt;span&gt;17&lt;/span&gt;&lt;/div&gt;
		&lt;div class="item-header"&gt;
			&lt;div class="description"&gt;&lt;span&gt;Description&lt;/span&gt;&lt;p&gt;Cake Pan&lt;/p&gt;&lt;/div&gt;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value="Cake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8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8" s="5" t="str">
        <f t="shared" si="3"/>
        <v xml:space="preserve">&lt;div class="accordion inventory"&gt;
	&lt;input id="item-17" type="checkbox" name="item-17" class="accordion"&gt;
	&lt;label for="item-17"&gt;
		&lt;div class="item-number"&gt;Item Number:&amp;nbsp;&lt;span&gt;17&lt;/span&gt;&lt;/div&gt;
		&lt;div class="item-header"&gt;
			&lt;div class="description"&gt;&lt;span&gt;Description&lt;/span&gt;&lt;p&gt;Cake Pan&lt;/p&gt;&lt;/div&gt;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value="Cake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19" spans="1:16" ht="17" x14ac:dyDescent="0.2">
      <c r="A19" s="5">
        <v>18</v>
      </c>
      <c r="B19" s="7" t="s">
        <v>35</v>
      </c>
      <c r="C19" s="5" t="s">
        <v>84</v>
      </c>
      <c r="D19" s="5">
        <v>0</v>
      </c>
      <c r="E19" s="5">
        <v>1</v>
      </c>
      <c r="F19" s="5">
        <v>2</v>
      </c>
      <c r="G19" s="5">
        <v>0</v>
      </c>
      <c r="M19" s="5" t="str">
        <f t="shared" si="0"/>
        <v>dinnerware-set-fine-china</v>
      </c>
      <c r="N19" s="5" t="str">
        <f t="shared" si="1"/>
        <v xml:space="preserve">&lt;div class="accordion inventory"&gt;
	&lt;input id="item-18" type="checkbox" name="item-18" class="accordion"&gt;
	&lt;label for="item-18"&gt;
		&lt;div class="item-number"&gt;Item Number:&amp;nbsp;&lt;span&gt;18&lt;/span&gt;&lt;/div&gt;
		&lt;div class="item-header"&gt;
			&lt;div class="description"&gt;&lt;span&gt;Description&lt;/span&gt;&lt;p&gt;Dinnerware Set Fine China&lt;/p&gt;&lt;/div&gt;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value="Dinnerware Set Fine China"&gt;&lt;span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19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19" s="5" t="str">
        <f t="shared" si="3"/>
        <v xml:space="preserve">&lt;div class="accordion inventory"&gt;
	&lt;input id="item-18" type="checkbox" name="item-18" class="accordion"&gt;
	&lt;label for="item-18"&gt;
		&lt;div class="item-number"&gt;Item Number:&amp;nbsp;&lt;span&gt;18&lt;/span&gt;&lt;/div&gt;
		&lt;div class="item-header"&gt;
			&lt;div class="description"&gt;&lt;span&gt;Description&lt;/span&gt;&lt;p&gt;Dinnerware Set Fine China&lt;/p&gt;&lt;/div&gt;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value="Dinnerware Set Fine China"&gt;&lt;span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0" spans="1:16" ht="17" x14ac:dyDescent="0.2">
      <c r="A20" s="5">
        <v>19</v>
      </c>
      <c r="B20" s="7" t="s">
        <v>35</v>
      </c>
      <c r="C20" s="5" t="s">
        <v>85</v>
      </c>
      <c r="D20" s="5">
        <v>0</v>
      </c>
      <c r="E20" s="5">
        <v>1</v>
      </c>
      <c r="F20" s="5">
        <v>2</v>
      </c>
      <c r="G20" s="5">
        <v>0</v>
      </c>
      <c r="M20" s="5" t="str">
        <f t="shared" si="0"/>
        <v>frying-pan</v>
      </c>
      <c r="N20" s="5" t="str">
        <f t="shared" si="1"/>
        <v xml:space="preserve">&lt;div class="accordion inventory"&gt;
	&lt;input id="item-19" type="checkbox" name="item-19" class="accordion"&gt;
	&lt;label for="item-19"&gt;
		&lt;div class="item-number"&gt;Item Number:&amp;nbsp;&lt;span&gt;19&lt;/span&gt;&lt;/div&gt;
		&lt;div class="item-header"&gt;
			&lt;div class="description"&gt;&lt;span&gt;Description&lt;/span&gt;&lt;p&gt;Frying Pan&lt;/p&gt;&lt;/div&gt;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value="Frying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0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0" s="5" t="str">
        <f t="shared" si="3"/>
        <v xml:space="preserve">&lt;div class="accordion inventory"&gt;
	&lt;input id="item-19" type="checkbox" name="item-19" class="accordion"&gt;
	&lt;label for="item-19"&gt;
		&lt;div class="item-number"&gt;Item Number:&amp;nbsp;&lt;span&gt;19&lt;/span&gt;&lt;/div&gt;
		&lt;div class="item-header"&gt;
			&lt;div class="description"&gt;&lt;span&gt;Description&lt;/span&gt;&lt;p&gt;Frying Pan&lt;/p&gt;&lt;/div&gt;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value="Frying Pan"&gt;&lt;span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1" spans="1:16" ht="17" x14ac:dyDescent="0.2">
      <c r="A21" s="5">
        <v>20</v>
      </c>
      <c r="B21" s="7" t="s">
        <v>35</v>
      </c>
      <c r="C21" s="5" t="s">
        <v>86</v>
      </c>
      <c r="D21" s="5">
        <v>0</v>
      </c>
      <c r="E21" s="5">
        <v>1</v>
      </c>
      <c r="F21" s="5">
        <v>2</v>
      </c>
      <c r="G21" s="5">
        <v>0</v>
      </c>
      <c r="M21" s="5" t="str">
        <f t="shared" si="0"/>
        <v>microwave-oven</v>
      </c>
      <c r="N21" s="5" t="str">
        <f t="shared" si="1"/>
        <v xml:space="preserve">&lt;div class="accordion inventory"&gt;
	&lt;input id="item-20" type="checkbox" name="item-20" class="accordion"&gt;
	&lt;label for="item-20"&gt;
		&lt;div class="item-number"&gt;Item Number:&amp;nbsp;&lt;span&gt;20&lt;/span&gt;&lt;/div&gt;
		&lt;div class="item-header"&gt;
			&lt;div class="description"&gt;&lt;span&gt;Description&lt;/span&gt;&lt;p&gt;Microwave Oven&lt;/p&gt;&lt;/div&gt;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value="Microwave Oven"&gt;&lt;span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1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1" s="5" t="str">
        <f t="shared" si="3"/>
        <v xml:space="preserve">&lt;div class="accordion inventory"&gt;
	&lt;input id="item-20" type="checkbox" name="item-20" class="accordion"&gt;
	&lt;label for="item-20"&gt;
		&lt;div class="item-number"&gt;Item Number:&amp;nbsp;&lt;span&gt;20&lt;/span&gt;&lt;/div&gt;
		&lt;div class="item-header"&gt;
			&lt;div class="description"&gt;&lt;span&gt;Description&lt;/span&gt;&lt;p&gt;Microwave Oven&lt;/p&gt;&lt;/div&gt;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value="Microwave Oven"&gt;&lt;span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2" spans="1:16" ht="17" x14ac:dyDescent="0.2">
      <c r="A22" s="5">
        <v>21</v>
      </c>
      <c r="B22" s="7" t="s">
        <v>35</v>
      </c>
      <c r="C22" s="5" t="s">
        <v>87</v>
      </c>
      <c r="D22" s="5">
        <v>0</v>
      </c>
      <c r="E22" s="5">
        <v>1</v>
      </c>
      <c r="F22" s="5">
        <v>2</v>
      </c>
      <c r="G22" s="5">
        <v>0</v>
      </c>
      <c r="M22" s="5" t="str">
        <f t="shared" si="0"/>
        <v>crock-pot</v>
      </c>
      <c r="N22" s="5" t="str">
        <f t="shared" si="1"/>
        <v xml:space="preserve">&lt;div class="accordion inventory"&gt;
	&lt;input id="item-21" type="checkbox" name="item-21" class="accordion"&gt;
	&lt;label for="item-21"&gt;
		&lt;div class="item-number"&gt;Item Number:&amp;nbsp;&lt;span&gt;21&lt;/span&gt;&lt;/div&gt;
		&lt;div class="item-header"&gt;
			&lt;div class="description"&gt;&lt;span&gt;Description&lt;/span&gt;&lt;p&gt;Crock Pot&lt;/p&gt;&lt;/div&gt;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value="Crock Pot"&gt;&lt;span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2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2" s="5" t="str">
        <f t="shared" si="3"/>
        <v xml:space="preserve">&lt;div class="accordion inventory"&gt;
	&lt;input id="item-21" type="checkbox" name="item-21" class="accordion"&gt;
	&lt;label for="item-21"&gt;
		&lt;div class="item-number"&gt;Item Number:&amp;nbsp;&lt;span&gt;21&lt;/span&gt;&lt;/div&gt;
		&lt;div class="item-header"&gt;
			&lt;div class="description"&gt;&lt;span&gt;Description&lt;/span&gt;&lt;p&gt;Crock Pot&lt;/p&gt;&lt;/div&gt;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value="Crock Pot"&gt;&lt;span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3" spans="1:16" ht="17" x14ac:dyDescent="0.2">
      <c r="A23" s="5">
        <v>22</v>
      </c>
      <c r="B23" s="7" t="s">
        <v>35</v>
      </c>
      <c r="C23" s="5" t="s">
        <v>89</v>
      </c>
      <c r="D23" s="5">
        <v>0</v>
      </c>
      <c r="E23" s="5">
        <v>1</v>
      </c>
      <c r="F23" s="5">
        <v>2</v>
      </c>
      <c r="G23" s="5">
        <v>0</v>
      </c>
      <c r="M23" s="5" t="str">
        <f t="shared" si="0"/>
        <v>wastebasket</v>
      </c>
      <c r="N23" s="5" t="str">
        <f t="shared" si="1"/>
        <v xml:space="preserve">&lt;div class="accordion inventory"&gt;
	&lt;input id="item-22" type="checkbox" name="item-22" class="accordion"&gt;
	&lt;label for="item-22"&gt;
		&lt;div class="item-number"&gt;Item Number:&amp;nbsp;&lt;span&gt;22&lt;/span&gt;&lt;/div&gt;
		&lt;div class="item-header"&gt;
			&lt;div class="description"&gt;&lt;span&gt;Description&lt;/span&gt;&lt;p&gt;Wastebasket&lt;/p&gt;&lt;/div&gt;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value="Wastebasket"&gt;&lt;span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3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3" s="5" t="str">
        <f t="shared" si="3"/>
        <v xml:space="preserve">&lt;div class="accordion inventory"&gt;
	&lt;input id="item-22" type="checkbox" name="item-22" class="accordion"&gt;
	&lt;label for="item-22"&gt;
		&lt;div class="item-number"&gt;Item Number:&amp;nbsp;&lt;span&gt;22&lt;/span&gt;&lt;/div&gt;
		&lt;div class="item-header"&gt;
			&lt;div class="description"&gt;&lt;span&gt;Description&lt;/span&gt;&lt;p&gt;Wastebasket&lt;/p&gt;&lt;/div&gt;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value="Wastebasket"&gt;&lt;span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4" spans="1:16" ht="17" x14ac:dyDescent="0.2">
      <c r="A24" s="5">
        <v>23</v>
      </c>
      <c r="B24" s="7" t="s">
        <v>35</v>
      </c>
      <c r="C24" s="5" t="s">
        <v>88</v>
      </c>
      <c r="D24" s="5">
        <v>0</v>
      </c>
      <c r="E24" s="5">
        <v>1</v>
      </c>
      <c r="F24" s="5">
        <v>2</v>
      </c>
      <c r="G24" s="5">
        <v>0</v>
      </c>
      <c r="M24" s="5" t="str">
        <f t="shared" si="0"/>
        <v>toaster</v>
      </c>
      <c r="N24" s="5" t="str">
        <f t="shared" si="1"/>
        <v xml:space="preserve">&lt;div class="accordion inventory"&gt;
	&lt;input id="item-23" type="checkbox" name="item-23" class="accordion"&gt;
	&lt;label for="item-23"&gt;
		&lt;div class="item-number"&gt;Item Number:&amp;nbsp;&lt;span&gt;23&lt;/span&gt;&lt;/div&gt;
		&lt;div class="item-header"&gt;
			&lt;div class="description"&gt;&lt;span&gt;Description&lt;/span&gt;&lt;p&gt;Toaster&lt;/p&gt;&lt;/div&gt;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value="Toaster"&gt;&lt;span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4" s="5" t="str">
        <f t="shared" si="2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4" s="5" t="str">
        <f t="shared" si="3"/>
        <v xml:space="preserve">&lt;div class="accordion inventory"&gt;
	&lt;input id="item-23" type="checkbox" name="item-23" class="accordion"&gt;
	&lt;label for="item-23"&gt;
		&lt;div class="item-number"&gt;Item Number:&amp;nbsp;&lt;span&gt;23&lt;/span&gt;&lt;/div&gt;
		&lt;div class="item-header"&gt;
			&lt;div class="description"&gt;&lt;span&gt;Description&lt;/span&gt;&lt;p&gt;Toaster&lt;/p&gt;&lt;/div&gt;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value="Toaster"&gt;&lt;span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value="Kitchen"&gt;&lt;span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5" spans="1:16" x14ac:dyDescent="0.2">
      <c r="C25" s="5"/>
      <c r="N25" s="5"/>
    </row>
    <row r="26" spans="1:16" ht="17" x14ac:dyDescent="0.2">
      <c r="A26" s="5">
        <v>24</v>
      </c>
      <c r="B26" s="7" t="s">
        <v>36</v>
      </c>
      <c r="C26" s="19" t="s">
        <v>57</v>
      </c>
      <c r="D26" s="5">
        <v>0</v>
      </c>
      <c r="E26" s="5">
        <v>1</v>
      </c>
      <c r="F26" s="5">
        <v>2</v>
      </c>
      <c r="G26" s="5">
        <v>0</v>
      </c>
      <c r="M26" s="5" t="str">
        <f t="shared" si="0"/>
        <v>coffee-table</v>
      </c>
      <c r="N26" s="5" t="str">
        <f t="shared" ref="N26:N47" si="4">CONCATENATE("&lt;div class=""accordion inventory""&gt;",CHAR(10),CHAR(9),"&lt;input id=""item-",A26,""" type=""checkbox"" name=""item-",A26,""" class=""accordion""&gt;",CHAR(10),CHAR(9),"&lt;label for=""item-",A26,"""&gt;",CHAR(10),CHAR(9),CHAR(9),"&lt;div class=""item-number""&gt;Item Number:&amp;nbsp;&lt;span&gt;",A26,"&lt;/span&gt;&lt;/div&gt;",CHAR(10),CHAR(9),CHAR(9),"&lt;div class=""item-header""&gt;",CHAR(10),CHAR(9),CHAR(9),CHAR(9),"&lt;div class=""description""&gt;&lt;span&gt;Description&lt;/span&gt;&lt;p&gt;",C26,"&lt;/p&gt;&lt;/div&gt;",CHAR(10),CHAR(9),CHAR(9),CHAR(9),"&lt;div class=""cost""&gt;&lt;span&gt;Cost&lt;/span&gt;&lt;p&gt;&amp;#36;",D26,"&lt;/p&gt;&lt;/div&gt;",CHAR(10),CHAR(9),CHAR(9),CHAR(9),"&lt;div class=""qty""&gt;&lt;span&gt;Qty&lt;/span&gt;&lt;p&gt;",E26,"&lt;/p&gt;&lt;/div&gt;",CHAR(10),CHAR(9),CHAR(9),"&lt;/div&gt;",CHAR(10),CHAR(9),"&lt;/label&gt;",CHAR(10),CHAR(9),"&lt;div class=""item-summary""&gt;",CHAR(10),CHAR(9),CHAR(9),"&lt;div class=""form-container""&gt;",CHAR(10),CHAR(9),CHAR(9),CHAR(9),"&lt;form&gt;",CHAR(10),CHAR(9),CHAR(9),CHAR(9),CHAR(9),"&lt;fieldset class=""description""&gt;",CHAR(10),CHAR(9),CHAR(9),CHAR(9),CHAR(9),CHAR(9),"&lt;legend&gt;Description&lt;/legend&gt;",CHAR(10),CHAR(9),CHAR(9),CHAR(9),CHAR(9),CHAR(9),"&lt;label for=""description""&gt;Description&lt;input type=""text"" name=""description"" placeholder=""Description"" value=""",C26,"""&gt;&lt;span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class=""value""&gt;",CHAR(10),CHAR(9),CHAR(9),CHAR(9),CHAR(9),CHAR(9),"&lt;legend&gt;Value&lt;/legend&gt;",CHAR(10),CHAR(9),CHAR(9),CHAR(9),CHAR(9),CHAR(9),"&lt;label for=""value""&gt;Value&lt;input type=""text"" name=""value"" placeholder=""Value"" value=""",D26,"""&gt;&lt;span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class=""quantity""&gt;",CHAR(10),CHAR(9),CHAR(9),CHAR(9),CHAR(9),CHAR(9),"&lt;legend&gt;Quantity&lt;/legend&gt;",CHAR(10),CHAR(9),CHAR(9),CHAR(9),CHAR(9),CHAR(9),"&lt;label for=""quantity""&gt;Quantity&lt;input type=""number"" name=""quantity"" placeholder=""Quantity"" value=""",E26,"""&gt;&lt;span class=""is-valid""&gt;&lt;/span&gt;&lt;/label&gt;",CHAR(10))</f>
        <v xml:space="preserve">&lt;div class="accordion inventory"&gt;
	&lt;input id="item-24" type="checkbox" name="item-24" class="accordion"&gt;
	&lt;label for="item-24"&gt;
		&lt;div class="item-number"&gt;Item Number:&amp;nbsp;&lt;span&gt;24&lt;/span&gt;&lt;/div&gt;
		&lt;div class="item-header"&gt;
			&lt;div class="description"&gt;&lt;span&gt;Description&lt;/span&gt;&lt;p&gt;Coffee Table&lt;/p&gt;&lt;/div&gt;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6" s="5" t="str">
        <f t="shared" ref="O26:O47" si="5">CONCATENATE(CHAR(9),CHAR(9),CHAR(9),CHAR(9),CHAR(9),"&lt;span class=""error-message""&gt;&lt;/span&gt;",CHAR(10),CHAR(9),CHAR(9),CHAR(9),CHAR(9),"&lt;/fieldset&gt;",CHAR(10),CHAR(9),CHAR(9),CHAR(9),CHAR(9),"&lt;fieldset class=""years""&gt;",CHAR(10),CHAR(9),CHAR(9),CHAR(9),CHAR(9),CHAR(9),"&lt;legend&gt;Age: Years&lt;/legend&gt;",CHAR(10),CHAR(9),CHAR(9),CHAR(9),CHAR(9),CHAR(9),"&lt;label for=""years""&gt;Age: Years&lt;input type=""number"" name=""years"" placeholder=""Age: Years"" value=""",F26,"""&gt;&lt;span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class=""months""&gt;",CHAR(10),CHAR(9),CHAR(9),CHAR(9),CHAR(9),CHAR(9),"&lt;legend&gt;Age: Months&lt;/legend&gt;",CHAR(10),CHAR(9),CHAR(9),CHAR(9),CHAR(9),CHAR(9),"&lt;label for=""months""&gt;Age: Months&lt;input type=""number"" name=""months"" placeholder=""Age: Months"" value=""",G26,"""&gt;&lt;span class=""is-valid""&gt;&lt;/span&gt;&lt;/label&gt;",CHAR(10),CHAR(9),CHAR(9),CHAR(9),CHAR(9),CHAR(9),"&lt;span class=""error-message""&gt;&lt;/span&gt;",CHAR(10),CHAR(9),CHAR(9),CHAR(9),CHAR(9),"&lt;/fieldset&gt;",CHAR(10),CHAR(9),CHAR(9),CHAR(9),CHAR(9),"&lt;fieldset class=""room""&gt;",CHAR(10),CHAR(9),CHAR(9),CHAR(9),CHAR(9),CHAR(9),"&lt;legend&gt;Room&lt;/legend&gt;",CHAR(10),CHAR(9),CHAR(9),CHAR(9),CHAR(9),CHAR(9),"&lt;label for=""room""&gt;Room&lt;input type=""text"" name=""room"" placeholder=""Room"" value=""",B26,"""&gt;&lt;span class=""is-valid""&gt;&lt;/span&gt;&lt;/label&gt;",CHAR(10),CHAR(9),CHAR(9),CHAR(9),CHAR(9),CHAR(9),"&lt;span class=""error-message""&gt;&lt;/span&gt;",CHAR(10),CHAR(9),CHAR(9),CHAR(9),CHAR(9),"&lt;/fieldset&gt;",CHAR(10),CHAR(9),CHAR(9),CHAR(9),CHAR(9),"&lt;div class=""button-box""&gt;",CHAR(10),CHAR(9),CHAR(9),CHAR(9),CHAR(9),CHAR(9),"&lt;a class=""button attachments""&gt;&lt;input type=""file"" name=""files[]""&gt;&lt;span class=""button-label""&gt;Attachments&lt;span class=""number""&gt;0&lt;/span&gt;&lt;/span&gt;&lt;/a&gt;",CHAR(10),CHAR(9),CHAR(9),CHAR(9),CHAR(9),"&lt;/div&gt;",CHAR(10),CHAR(9),CHAR(9),CHAR(9),"&lt;/form&gt;",CHAR(10),CHAR(9),CHAR(9),"&lt;/div&gt;",CHAR(10),CHAR(9),CHAR(9),"&lt;div class=""text action md""&gt;",CHAR(10),CHAR(9),CHAR(9),CHAR(9),"&lt;span&gt;&lt;a class=""item--save""&gt;Save&lt;/a&gt;&lt;/span&gt;",CHAR(10),CHAR(9),CHAR(9),CHAR(9),"&lt;span&gt;&lt;a class=""item--delete""&gt;Delete&lt;/a&gt;&lt;/span&gt;",CHAR(10),CHAR(9),CHAR(9),"&lt;/div&gt;",CHAR(10),CHAR(9),"&lt;/div&gt;",CHAR(10),"&lt;/div&gt;",CHAR(10))</f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6" s="5" t="str">
        <f t="shared" si="3"/>
        <v xml:space="preserve">&lt;div class="accordion inventory"&gt;
	&lt;input id="item-24" type="checkbox" name="item-24" class="accordion"&gt;
	&lt;label for="item-24"&gt;
		&lt;div class="item-number"&gt;Item Number:&amp;nbsp;&lt;span&gt;24&lt;/span&gt;&lt;/div&gt;
		&lt;div class="item-header"&gt;
			&lt;div class="description"&gt;&lt;span&gt;Description&lt;/span&gt;&lt;p&gt;Coffee Table&lt;/p&gt;&lt;/div&gt;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value="Coffee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7" spans="1:16" ht="17" x14ac:dyDescent="0.2">
      <c r="A27" s="5">
        <v>25</v>
      </c>
      <c r="B27" s="7" t="s">
        <v>36</v>
      </c>
      <c r="C27" s="19" t="s">
        <v>55</v>
      </c>
      <c r="D27" s="5">
        <v>0</v>
      </c>
      <c r="E27" s="5">
        <v>1</v>
      </c>
      <c r="F27" s="5">
        <v>2</v>
      </c>
      <c r="G27" s="5">
        <v>0</v>
      </c>
      <c r="M27" s="5" t="str">
        <f t="shared" si="0"/>
        <v>picture-frame</v>
      </c>
      <c r="N27" s="5" t="str">
        <f t="shared" si="4"/>
        <v xml:space="preserve">&lt;div class="accordion inventory"&gt;
	&lt;input id="item-25" type="checkbox" name="item-25" class="accordion"&gt;
	&lt;label for="item-25"&gt;
		&lt;div class="item-number"&gt;Item Number:&amp;nbsp;&lt;span&gt;25&lt;/span&gt;&lt;/div&gt;
		&lt;div class="item-header"&gt;
			&lt;div class="description"&gt;&lt;span&gt;Description&lt;/span&gt;&lt;p&gt;Picture Frame&lt;/p&gt;&lt;/div&gt;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value="Picture Frame"&gt;&lt;span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7" s="5" t="str">
        <f t="shared" si="3"/>
        <v xml:space="preserve">&lt;div class="accordion inventory"&gt;
	&lt;input id="item-25" type="checkbox" name="item-25" class="accordion"&gt;
	&lt;label for="item-25"&gt;
		&lt;div class="item-number"&gt;Item Number:&amp;nbsp;&lt;span&gt;25&lt;/span&gt;&lt;/div&gt;
		&lt;div class="item-header"&gt;
			&lt;div class="description"&gt;&lt;span&gt;Description&lt;/span&gt;&lt;p&gt;Picture Frame&lt;/p&gt;&lt;/div&gt;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value="Picture Frame"&gt;&lt;span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8" spans="1:16" ht="17" x14ac:dyDescent="0.2">
      <c r="A28" s="5">
        <v>26</v>
      </c>
      <c r="B28" s="7" t="s">
        <v>36</v>
      </c>
      <c r="C28" s="19" t="s">
        <v>37</v>
      </c>
      <c r="D28" s="5">
        <v>0</v>
      </c>
      <c r="E28" s="5">
        <v>1</v>
      </c>
      <c r="F28" s="5">
        <v>2</v>
      </c>
      <c r="G28" s="5">
        <v>0</v>
      </c>
      <c r="M28" s="5" t="str">
        <f t="shared" si="0"/>
        <v>lamp</v>
      </c>
      <c r="N28" s="5" t="str">
        <f t="shared" si="4"/>
        <v xml:space="preserve">&lt;div class="accordion inventory"&gt;
	&lt;input id="item-26" type="checkbox" name="item-26" class="accordion"&gt;
	&lt;label for="item-26"&gt;
		&lt;div class="item-number"&gt;Item Number:&amp;nbsp;&lt;span&gt;26&lt;/span&gt;&lt;/div&gt;
		&lt;div class="item-header"&gt;
			&lt;div class="description"&gt;&lt;span&gt;Description&lt;/span&gt;&lt;p&gt;Lamp&lt;/p&gt;&lt;/div&gt;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value="Lamp"&gt;&lt;span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8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8" s="5" t="str">
        <f t="shared" si="3"/>
        <v xml:space="preserve">&lt;div class="accordion inventory"&gt;
	&lt;input id="item-26" type="checkbox" name="item-26" class="accordion"&gt;
	&lt;label for="item-26"&gt;
		&lt;div class="item-number"&gt;Item Number:&amp;nbsp;&lt;span&gt;26&lt;/span&gt;&lt;/div&gt;
		&lt;div class="item-header"&gt;
			&lt;div class="description"&gt;&lt;span&gt;Description&lt;/span&gt;&lt;p&gt;Lamp&lt;/p&gt;&lt;/div&gt;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value="Lamp"&gt;&lt;span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29" spans="1:16" ht="17" x14ac:dyDescent="0.2">
      <c r="A29" s="5">
        <v>27</v>
      </c>
      <c r="B29" s="7" t="s">
        <v>36</v>
      </c>
      <c r="C29" s="19" t="s">
        <v>38</v>
      </c>
      <c r="D29" s="5">
        <v>0</v>
      </c>
      <c r="E29" s="5">
        <v>1</v>
      </c>
      <c r="F29" s="5">
        <v>2</v>
      </c>
      <c r="G29" s="5">
        <v>0</v>
      </c>
      <c r="M29" s="5" t="str">
        <f t="shared" si="0"/>
        <v>rug</v>
      </c>
      <c r="N29" s="5" t="str">
        <f t="shared" si="4"/>
        <v xml:space="preserve">&lt;div class="accordion inventory"&gt;
	&lt;input id="item-27" type="checkbox" name="item-27" class="accordion"&gt;
	&lt;label for="item-27"&gt;
		&lt;div class="item-number"&gt;Item Number:&amp;nbsp;&lt;span&gt;27&lt;/span&gt;&lt;/div&gt;
		&lt;div class="item-header"&gt;
			&lt;div class="description"&gt;&lt;span&gt;Description&lt;/span&gt;&lt;p&gt;Rug&lt;/p&gt;&lt;/div&gt;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value="Rug"&gt;&lt;span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29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29" s="5" t="str">
        <f t="shared" si="3"/>
        <v xml:space="preserve">&lt;div class="accordion inventory"&gt;
	&lt;input id="item-27" type="checkbox" name="item-27" class="accordion"&gt;
	&lt;label for="item-27"&gt;
		&lt;div class="item-number"&gt;Item Number:&amp;nbsp;&lt;span&gt;27&lt;/span&gt;&lt;/div&gt;
		&lt;div class="item-header"&gt;
			&lt;div class="description"&gt;&lt;span&gt;Description&lt;/span&gt;&lt;p&gt;Rug&lt;/p&gt;&lt;/div&gt;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value="Rug"&gt;&lt;span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0" spans="1:16" ht="17" x14ac:dyDescent="0.2">
      <c r="A30" s="5">
        <v>28</v>
      </c>
      <c r="B30" s="7" t="s">
        <v>36</v>
      </c>
      <c r="C30" s="19" t="s">
        <v>53</v>
      </c>
      <c r="D30" s="5">
        <v>0</v>
      </c>
      <c r="E30" s="5">
        <v>1</v>
      </c>
      <c r="F30" s="5">
        <v>2</v>
      </c>
      <c r="G30" s="5">
        <v>0</v>
      </c>
      <c r="M30" s="5" t="str">
        <f t="shared" si="0"/>
        <v>book-hardcover</v>
      </c>
      <c r="N30" s="5" t="str">
        <f t="shared" si="4"/>
        <v xml:space="preserve">&lt;div class="accordion inventory"&gt;
	&lt;input id="item-28" type="checkbox" name="item-28" class="accordion"&gt;
	&lt;label for="item-28"&gt;
		&lt;div class="item-number"&gt;Item Number:&amp;nbsp;&lt;span&gt;28&lt;/span&gt;&lt;/div&gt;
		&lt;div class="item-header"&gt;
			&lt;div class="description"&gt;&lt;span&gt;Description&lt;/span&gt;&lt;p&gt;Book Hardcover&lt;/p&gt;&lt;/div&gt;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 Hardcover"&gt;&lt;span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0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0" s="5" t="str">
        <f t="shared" si="3"/>
        <v xml:space="preserve">&lt;div class="accordion inventory"&gt;
	&lt;input id="item-28" type="checkbox" name="item-28" class="accordion"&gt;
	&lt;label for="item-28"&gt;
		&lt;div class="item-number"&gt;Item Number:&amp;nbsp;&lt;span&gt;28&lt;/span&gt;&lt;/div&gt;
		&lt;div class="item-header"&gt;
			&lt;div class="description"&gt;&lt;span&gt;Description&lt;/span&gt;&lt;p&gt;Book Hardcover&lt;/p&gt;&lt;/div&gt;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 Hardcover"&gt;&lt;span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1" spans="1:16" ht="17" x14ac:dyDescent="0.2">
      <c r="A31" s="5">
        <v>29</v>
      </c>
      <c r="B31" s="7" t="s">
        <v>36</v>
      </c>
      <c r="C31" s="19" t="s">
        <v>39</v>
      </c>
      <c r="D31" s="5">
        <v>0</v>
      </c>
      <c r="E31" s="5">
        <v>1</v>
      </c>
      <c r="F31" s="5">
        <v>2</v>
      </c>
      <c r="G31" s="5">
        <v>0</v>
      </c>
      <c r="M31" s="5" t="str">
        <f t="shared" si="0"/>
        <v>chair</v>
      </c>
      <c r="N31" s="5" t="str">
        <f t="shared" si="4"/>
        <v xml:space="preserve">&lt;div class="accordion inventory"&gt;
	&lt;input id="item-29" type="checkbox" name="item-29" class="accordion"&gt;
	&lt;label for="item-29"&gt;
		&lt;div class="item-number"&gt;Item Number:&amp;nbsp;&lt;span&gt;29&lt;/span&gt;&lt;/div&gt;
		&lt;div class="item-header"&gt;
			&lt;div class="description"&gt;&lt;span&gt;Description&lt;/span&gt;&lt;p&gt;Chair&lt;/p&gt;&lt;/div&gt;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value="Chair"&gt;&lt;span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1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1" s="5" t="str">
        <f t="shared" si="3"/>
        <v xml:space="preserve">&lt;div class="accordion inventory"&gt;
	&lt;input id="item-29" type="checkbox" name="item-29" class="accordion"&gt;
	&lt;label for="item-29"&gt;
		&lt;div class="item-number"&gt;Item Number:&amp;nbsp;&lt;span&gt;29&lt;/span&gt;&lt;/div&gt;
		&lt;div class="item-header"&gt;
			&lt;div class="description"&gt;&lt;span&gt;Description&lt;/span&gt;&lt;p&gt;Chair&lt;/p&gt;&lt;/div&gt;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value="Chair"&gt;&lt;span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2" spans="1:16" ht="17" x14ac:dyDescent="0.2">
      <c r="A32" s="5">
        <v>30</v>
      </c>
      <c r="B32" s="7" t="s">
        <v>36</v>
      </c>
      <c r="C32" s="19" t="s">
        <v>56</v>
      </c>
      <c r="D32" s="5">
        <v>0</v>
      </c>
      <c r="E32" s="5">
        <v>1</v>
      </c>
      <c r="F32" s="5">
        <v>2</v>
      </c>
      <c r="G32" s="5">
        <v>0</v>
      </c>
      <c r="M32" s="5" t="str">
        <f t="shared" si="0"/>
        <v>decorative-pillow</v>
      </c>
      <c r="N32" s="5" t="str">
        <f t="shared" si="4"/>
        <v xml:space="preserve">&lt;div class="accordion inventory"&gt;
	&lt;input id="item-30" type="checkbox" name="item-30" class="accordion"&gt;
	&lt;label for="item-30"&gt;
		&lt;div class="item-number"&gt;Item Number:&amp;nbsp;&lt;span&gt;30&lt;/span&gt;&lt;/div&gt;
		&lt;div class="item-header"&gt;
			&lt;div class="description"&gt;&lt;span&gt;Description&lt;/span&gt;&lt;p&gt;Decorative Pillow&lt;/p&gt;&lt;/div&gt;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value="Decorative Pillow"&gt;&lt;span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2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2" s="5" t="str">
        <f t="shared" si="3"/>
        <v xml:space="preserve">&lt;div class="accordion inventory"&gt;
	&lt;input id="item-30" type="checkbox" name="item-30" class="accordion"&gt;
	&lt;label for="item-30"&gt;
		&lt;div class="item-number"&gt;Item Number:&amp;nbsp;&lt;span&gt;30&lt;/span&gt;&lt;/div&gt;
		&lt;div class="item-header"&gt;
			&lt;div class="description"&gt;&lt;span&gt;Description&lt;/span&gt;&lt;p&gt;Decorative Pillow&lt;/p&gt;&lt;/div&gt;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value="Decorative Pillow"&gt;&lt;span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3" spans="1:16" ht="17" x14ac:dyDescent="0.2">
      <c r="A33" s="5">
        <v>31</v>
      </c>
      <c r="B33" s="7" t="s">
        <v>36</v>
      </c>
      <c r="C33" s="19" t="s">
        <v>41</v>
      </c>
      <c r="D33" s="5">
        <v>0</v>
      </c>
      <c r="E33" s="5">
        <v>1</v>
      </c>
      <c r="F33" s="5">
        <v>2</v>
      </c>
      <c r="G33" s="5">
        <v>0</v>
      </c>
      <c r="M33" s="5" t="str">
        <f t="shared" si="0"/>
        <v>tv</v>
      </c>
      <c r="N33" s="5" t="str">
        <f t="shared" si="4"/>
        <v xml:space="preserve">&lt;div class="accordion inventory"&gt;
	&lt;input id="item-31" type="checkbox" name="item-31" class="accordion"&gt;
	&lt;label for="item-31"&gt;
		&lt;div class="item-number"&gt;Item Number:&amp;nbsp;&lt;span&gt;31&lt;/span&gt;&lt;/div&gt;
		&lt;div class="item-header"&gt;
			&lt;div class="description"&gt;&lt;span&gt;Description&lt;/span&gt;&lt;p&gt;TV&lt;/p&gt;&lt;/div&gt;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3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3" s="5" t="str">
        <f t="shared" si="3"/>
        <v xml:space="preserve">&lt;div class="accordion inventory"&gt;
	&lt;input id="item-31" type="checkbox" name="item-31" class="accordion"&gt;
	&lt;label for="item-31"&gt;
		&lt;div class="item-number"&gt;Item Number:&amp;nbsp;&lt;span&gt;31&lt;/span&gt;&lt;/div&gt;
		&lt;div class="item-header"&gt;
			&lt;div class="description"&gt;&lt;span&gt;Description&lt;/span&gt;&lt;p&gt;TV&lt;/p&gt;&lt;/div&gt;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4" spans="1:16" ht="17" x14ac:dyDescent="0.2">
      <c r="A34" s="5">
        <v>32</v>
      </c>
      <c r="B34" s="7" t="s">
        <v>36</v>
      </c>
      <c r="C34" s="19" t="s">
        <v>42</v>
      </c>
      <c r="D34" s="5">
        <v>0</v>
      </c>
      <c r="E34" s="5">
        <v>1</v>
      </c>
      <c r="F34" s="5">
        <v>2</v>
      </c>
      <c r="G34" s="5">
        <v>0</v>
      </c>
      <c r="M34" s="5" t="str">
        <f t="shared" si="0"/>
        <v>sofa</v>
      </c>
      <c r="N34" s="5" t="str">
        <f t="shared" si="4"/>
        <v xml:space="preserve">&lt;div class="accordion inventory"&gt;
	&lt;input id="item-32" type="checkbox" name="item-32" class="accordion"&gt;
	&lt;label for="item-32"&gt;
		&lt;div class="item-number"&gt;Item Number:&amp;nbsp;&lt;span&gt;32&lt;/span&gt;&lt;/div&gt;
		&lt;div class="item-header"&gt;
			&lt;div class="description"&gt;&lt;span&gt;Description&lt;/span&gt;&lt;p&gt;Sofa&lt;/p&gt;&lt;/div&gt;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value="Sofa"&gt;&lt;span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4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4" s="5" t="str">
        <f t="shared" si="3"/>
        <v xml:space="preserve">&lt;div class="accordion inventory"&gt;
	&lt;input id="item-32" type="checkbox" name="item-32" class="accordion"&gt;
	&lt;label for="item-32"&gt;
		&lt;div class="item-number"&gt;Item Number:&amp;nbsp;&lt;span&gt;32&lt;/span&gt;&lt;/div&gt;
		&lt;div class="item-header"&gt;
			&lt;div class="description"&gt;&lt;span&gt;Description&lt;/span&gt;&lt;p&gt;Sofa&lt;/p&gt;&lt;/div&gt;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value="Sofa"&gt;&lt;span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5" spans="1:16" ht="17" x14ac:dyDescent="0.2">
      <c r="A35" s="5">
        <v>33</v>
      </c>
      <c r="B35" s="7" t="s">
        <v>36</v>
      </c>
      <c r="C35" s="19" t="s">
        <v>59</v>
      </c>
      <c r="D35" s="5">
        <v>0</v>
      </c>
      <c r="E35" s="5">
        <v>1</v>
      </c>
      <c r="F35" s="5">
        <v>2</v>
      </c>
      <c r="G35" s="5">
        <v>0</v>
      </c>
      <c r="M35" s="5" t="str">
        <f t="shared" si="0"/>
        <v>board-game</v>
      </c>
      <c r="N35" s="5" t="str">
        <f t="shared" si="4"/>
        <v xml:space="preserve">&lt;div class="accordion inventory"&gt;
	&lt;input id="item-33" type="checkbox" name="item-33" class="accordion"&gt;
	&lt;label for="item-33"&gt;
		&lt;div class="item-number"&gt;Item Number:&amp;nbsp;&lt;span&gt;33&lt;/span&gt;&lt;/div&gt;
		&lt;div class="item-header"&gt;
			&lt;div class="description"&gt;&lt;span&gt;Description&lt;/span&gt;&lt;p&gt;Board Game&lt;/p&gt;&lt;/div&gt;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value="Board Game"&gt;&lt;span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5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5" s="5" t="str">
        <f t="shared" si="3"/>
        <v xml:space="preserve">&lt;div class="accordion inventory"&gt;
	&lt;input id="item-33" type="checkbox" name="item-33" class="accordion"&gt;
	&lt;label for="item-33"&gt;
		&lt;div class="item-number"&gt;Item Number:&amp;nbsp;&lt;span&gt;33&lt;/span&gt;&lt;/div&gt;
		&lt;div class="item-header"&gt;
			&lt;div class="description"&gt;&lt;span&gt;Description&lt;/span&gt;&lt;p&gt;Board Game&lt;/p&gt;&lt;/div&gt;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value="Board Game"&gt;&lt;span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6" spans="1:16" ht="17" x14ac:dyDescent="0.2">
      <c r="A36" s="5">
        <v>34</v>
      </c>
      <c r="B36" s="7" t="s">
        <v>36</v>
      </c>
      <c r="C36" s="19" t="s">
        <v>44</v>
      </c>
      <c r="D36" s="5">
        <v>0</v>
      </c>
      <c r="E36" s="5">
        <v>1</v>
      </c>
      <c r="F36" s="5">
        <v>2</v>
      </c>
      <c r="G36" s="5">
        <v>0</v>
      </c>
      <c r="M36" s="5" t="str">
        <f t="shared" si="0"/>
        <v>dvd</v>
      </c>
      <c r="N36" s="5" t="str">
        <f t="shared" si="4"/>
        <v xml:space="preserve">&lt;div class="accordion inventory"&gt;
	&lt;input id="item-34" type="checkbox" name="item-34" class="accordion"&gt;
	&lt;label for="item-34"&gt;
		&lt;div class="item-number"&gt;Item Number:&amp;nbsp;&lt;span&gt;34&lt;/span&gt;&lt;/div&gt;
		&lt;div class="item-header"&gt;
			&lt;div class="description"&gt;&lt;span&gt;Description&lt;/span&gt;&lt;p&gt;DVD&lt;/p&gt;&lt;/div&gt;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6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6" s="5" t="str">
        <f t="shared" si="3"/>
        <v xml:space="preserve">&lt;div class="accordion inventory"&gt;
	&lt;input id="item-34" type="checkbox" name="item-34" class="accordion"&gt;
	&lt;label for="item-34"&gt;
		&lt;div class="item-number"&gt;Item Number:&amp;nbsp;&lt;span&gt;34&lt;/span&gt;&lt;/div&gt;
		&lt;div class="item-header"&gt;
			&lt;div class="description"&gt;&lt;span&gt;Description&lt;/span&gt;&lt;p&gt;DVD&lt;/p&gt;&lt;/div&gt;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7" spans="1:16" ht="17" x14ac:dyDescent="0.2">
      <c r="A37" s="5">
        <v>35</v>
      </c>
      <c r="B37" s="7" t="s">
        <v>36</v>
      </c>
      <c r="C37" s="19" t="s">
        <v>60</v>
      </c>
      <c r="D37" s="5">
        <v>0</v>
      </c>
      <c r="E37" s="5">
        <v>1</v>
      </c>
      <c r="F37" s="5">
        <v>2</v>
      </c>
      <c r="G37" s="5">
        <v>0</v>
      </c>
      <c r="M37" s="5" t="str">
        <f t="shared" si="0"/>
        <v>dvd-player</v>
      </c>
      <c r="N37" s="5" t="str">
        <f t="shared" si="4"/>
        <v xml:space="preserve">&lt;div class="accordion inventory"&gt;
	&lt;input id="item-35" type="checkbox" name="item-35" class="accordion"&gt;
	&lt;label for="item-35"&gt;
		&lt;div class="item-number"&gt;Item Number:&amp;nbsp;&lt;span&gt;35&lt;/span&gt;&lt;/div&gt;
		&lt;div class="item-header"&gt;
			&lt;div class="description"&gt;&lt;span&gt;Description&lt;/span&gt;&lt;p&gt;DVD Player&lt;/p&gt;&lt;/div&gt;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 Player"&gt;&lt;span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7" s="5" t="str">
        <f t="shared" si="3"/>
        <v xml:space="preserve">&lt;div class="accordion inventory"&gt;
	&lt;input id="item-35" type="checkbox" name="item-35" class="accordion"&gt;
	&lt;label for="item-35"&gt;
		&lt;div class="item-number"&gt;Item Number:&amp;nbsp;&lt;span&gt;35&lt;/span&gt;&lt;/div&gt;
		&lt;div class="item-header"&gt;
			&lt;div class="description"&gt;&lt;span&gt;Description&lt;/span&gt;&lt;p&gt;DVD Player&lt;/p&gt;&lt;/div&gt;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value="DVD Player"&gt;&lt;span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8" spans="1:16" ht="17" x14ac:dyDescent="0.2">
      <c r="A38" s="5">
        <v>36</v>
      </c>
      <c r="B38" s="7" t="s">
        <v>36</v>
      </c>
      <c r="C38" s="19" t="s">
        <v>45</v>
      </c>
      <c r="D38" s="5">
        <v>0</v>
      </c>
      <c r="E38" s="5">
        <v>1</v>
      </c>
      <c r="F38" s="5">
        <v>2</v>
      </c>
      <c r="G38" s="5">
        <v>0</v>
      </c>
      <c r="M38" s="5" t="str">
        <f t="shared" si="0"/>
        <v>blanket</v>
      </c>
      <c r="N38" s="5" t="str">
        <f t="shared" si="4"/>
        <v xml:space="preserve">&lt;div class="accordion inventory"&gt;
	&lt;input id="item-36" type="checkbox" name="item-36" class="accordion"&gt;
	&lt;label for="item-36"&gt;
		&lt;div class="item-number"&gt;Item Number:&amp;nbsp;&lt;span&gt;36&lt;/span&gt;&lt;/div&gt;
		&lt;div class="item-header"&gt;
			&lt;div class="description"&gt;&lt;span&gt;Description&lt;/span&gt;&lt;p&gt;Blanket&lt;/p&gt;&lt;/div&gt;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value="Blanket"&gt;&lt;span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8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8" s="5" t="str">
        <f t="shared" si="3"/>
        <v xml:space="preserve">&lt;div class="accordion inventory"&gt;
	&lt;input id="item-36" type="checkbox" name="item-36" class="accordion"&gt;
	&lt;label for="item-36"&gt;
		&lt;div class="item-number"&gt;Item Number:&amp;nbsp;&lt;span&gt;36&lt;/span&gt;&lt;/div&gt;
		&lt;div class="item-header"&gt;
			&lt;div class="description"&gt;&lt;span&gt;Description&lt;/span&gt;&lt;p&gt;Blanket&lt;/p&gt;&lt;/div&gt;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value="Blanket"&gt;&lt;span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39" spans="1:16" ht="17" x14ac:dyDescent="0.2">
      <c r="A39" s="5">
        <v>37</v>
      </c>
      <c r="B39" s="7" t="s">
        <v>36</v>
      </c>
      <c r="C39" s="19" t="s">
        <v>46</v>
      </c>
      <c r="D39" s="5">
        <v>0</v>
      </c>
      <c r="E39" s="5">
        <v>1</v>
      </c>
      <c r="F39" s="5">
        <v>2</v>
      </c>
      <c r="G39" s="5">
        <v>0</v>
      </c>
      <c r="M39" s="5" t="str">
        <f t="shared" si="0"/>
        <v>mirror</v>
      </c>
      <c r="N39" s="5" t="str">
        <f t="shared" si="4"/>
        <v xml:space="preserve">&lt;div class="accordion inventory"&gt;
	&lt;input id="item-37" type="checkbox" name="item-37" class="accordion"&gt;
	&lt;label for="item-37"&gt;
		&lt;div class="item-number"&gt;Item Number:&amp;nbsp;&lt;span&gt;37&lt;/span&gt;&lt;/div&gt;
		&lt;div class="item-header"&gt;
			&lt;div class="description"&gt;&lt;span&gt;Description&lt;/span&gt;&lt;p&gt;Mirror&lt;/p&gt;&lt;/div&gt;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value="Mirror"&gt;&lt;span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39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39" s="5" t="str">
        <f t="shared" si="3"/>
        <v xml:space="preserve">&lt;div class="accordion inventory"&gt;
	&lt;input id="item-37" type="checkbox" name="item-37" class="accordion"&gt;
	&lt;label for="item-37"&gt;
		&lt;div class="item-number"&gt;Item Number:&amp;nbsp;&lt;span&gt;37&lt;/span&gt;&lt;/div&gt;
		&lt;div class="item-header"&gt;
			&lt;div class="description"&gt;&lt;span&gt;Description&lt;/span&gt;&lt;p&gt;Mirror&lt;/p&gt;&lt;/div&gt;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value="Mirror"&gt;&lt;span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0" spans="1:16" ht="17" x14ac:dyDescent="0.2">
      <c r="A40" s="5">
        <v>38</v>
      </c>
      <c r="B40" s="7" t="s">
        <v>36</v>
      </c>
      <c r="C40" s="19" t="s">
        <v>47</v>
      </c>
      <c r="D40" s="5">
        <v>0</v>
      </c>
      <c r="E40" s="5">
        <v>1</v>
      </c>
      <c r="F40" s="5">
        <v>2</v>
      </c>
      <c r="G40" s="5">
        <v>0</v>
      </c>
      <c r="M40" s="5" t="str">
        <f t="shared" si="0"/>
        <v>basket</v>
      </c>
      <c r="N40" s="5" t="str">
        <f t="shared" si="4"/>
        <v xml:space="preserve">&lt;div class="accordion inventory"&gt;
	&lt;input id="item-38" type="checkbox" name="item-38" class="accordion"&gt;
	&lt;label for="item-38"&gt;
		&lt;div class="item-number"&gt;Item Number:&amp;nbsp;&lt;span&gt;38&lt;/span&gt;&lt;/div&gt;
		&lt;div class="item-header"&gt;
			&lt;div class="description"&gt;&lt;span&gt;Description&lt;/span&gt;&lt;p&gt;Basket&lt;/p&gt;&lt;/div&gt;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0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0" s="5" t="str">
        <f t="shared" si="3"/>
        <v xml:space="preserve">&lt;div class="accordion inventory"&gt;
	&lt;input id="item-38" type="checkbox" name="item-38" class="accordion"&gt;
	&lt;label for="item-38"&gt;
		&lt;div class="item-number"&gt;Item Number:&amp;nbsp;&lt;span&gt;38&lt;/span&gt;&lt;/div&gt;
		&lt;div class="item-header"&gt;
			&lt;div class="description"&gt;&lt;span&gt;Description&lt;/span&gt;&lt;p&gt;Basket&lt;/p&gt;&lt;/div&gt;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value="Basket"&gt;&lt;span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1" spans="1:16" ht="17" x14ac:dyDescent="0.2">
      <c r="A41" s="5">
        <v>39</v>
      </c>
      <c r="B41" s="7" t="s">
        <v>36</v>
      </c>
      <c r="C41" s="19" t="s">
        <v>58</v>
      </c>
      <c r="D41" s="5">
        <v>0</v>
      </c>
      <c r="E41" s="5">
        <v>1</v>
      </c>
      <c r="F41" s="5">
        <v>2</v>
      </c>
      <c r="G41" s="5">
        <v>0</v>
      </c>
      <c r="M41" s="5" t="str">
        <f t="shared" si="0"/>
        <v>end-table</v>
      </c>
      <c r="N41" s="5" t="str">
        <f t="shared" si="4"/>
        <v xml:space="preserve">&lt;div class="accordion inventory"&gt;
	&lt;input id="item-39" type="checkbox" name="item-39" class="accordion"&gt;
	&lt;label for="item-39"&gt;
		&lt;div class="item-number"&gt;Item Number:&amp;nbsp;&lt;span&gt;39&lt;/span&gt;&lt;/div&gt;
		&lt;div class="item-header"&gt;
			&lt;div class="description"&gt;&lt;span&gt;Description&lt;/span&gt;&lt;p&gt;End Table&lt;/p&gt;&lt;/div&gt;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value="End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1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1" s="5" t="str">
        <f t="shared" si="3"/>
        <v xml:space="preserve">&lt;div class="accordion inventory"&gt;
	&lt;input id="item-39" type="checkbox" name="item-39" class="accordion"&gt;
	&lt;label for="item-39"&gt;
		&lt;div class="item-number"&gt;Item Number:&amp;nbsp;&lt;span&gt;39&lt;/span&gt;&lt;/div&gt;
		&lt;div class="item-header"&gt;
			&lt;div class="description"&gt;&lt;span&gt;Description&lt;/span&gt;&lt;p&gt;End Table&lt;/p&gt;&lt;/div&gt;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value="End Table"&gt;&lt;span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2" spans="1:16" ht="17" x14ac:dyDescent="0.2">
      <c r="A42" s="5">
        <v>40</v>
      </c>
      <c r="B42" s="7" t="s">
        <v>36</v>
      </c>
      <c r="C42" s="19" t="s">
        <v>48</v>
      </c>
      <c r="D42" s="5">
        <v>0</v>
      </c>
      <c r="E42" s="5">
        <v>1</v>
      </c>
      <c r="F42" s="5">
        <v>2</v>
      </c>
      <c r="G42" s="5">
        <v>0</v>
      </c>
      <c r="M42" s="5" t="str">
        <f t="shared" si="0"/>
        <v>curtains</v>
      </c>
      <c r="N42" s="5" t="str">
        <f t="shared" si="4"/>
        <v xml:space="preserve">&lt;div class="accordion inventory"&gt;
	&lt;input id="item-40" type="checkbox" name="item-40" class="accordion"&gt;
	&lt;label for="item-40"&gt;
		&lt;div class="item-number"&gt;Item Number:&amp;nbsp;&lt;span&gt;40&lt;/span&gt;&lt;/div&gt;
		&lt;div class="item-header"&gt;
			&lt;div class="description"&gt;&lt;span&gt;Description&lt;/span&gt;&lt;p&gt;Curtains&lt;/p&gt;&lt;/div&gt;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value="Curtains"&gt;&lt;span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2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2" s="5" t="str">
        <f t="shared" si="3"/>
        <v xml:space="preserve">&lt;div class="accordion inventory"&gt;
	&lt;input id="item-40" type="checkbox" name="item-40" class="accordion"&gt;
	&lt;label for="item-40"&gt;
		&lt;div class="item-number"&gt;Item Number:&amp;nbsp;&lt;span&gt;40&lt;/span&gt;&lt;/div&gt;
		&lt;div class="item-header"&gt;
			&lt;div class="description"&gt;&lt;span&gt;Description&lt;/span&gt;&lt;p&gt;Curtains&lt;/p&gt;&lt;/div&gt;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value="Curtains"&gt;&lt;span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3" spans="1:16" ht="17" x14ac:dyDescent="0.2">
      <c r="A43" s="5">
        <v>41</v>
      </c>
      <c r="B43" s="7" t="s">
        <v>36</v>
      </c>
      <c r="C43" s="19" t="s">
        <v>49</v>
      </c>
      <c r="D43" s="5">
        <v>0</v>
      </c>
      <c r="E43" s="5">
        <v>1</v>
      </c>
      <c r="F43" s="5">
        <v>2</v>
      </c>
      <c r="G43" s="5">
        <v>0</v>
      </c>
      <c r="M43" s="5" t="str">
        <f t="shared" si="0"/>
        <v>recliner</v>
      </c>
      <c r="N43" s="5" t="str">
        <f t="shared" si="4"/>
        <v xml:space="preserve">&lt;div class="accordion inventory"&gt;
	&lt;input id="item-41" type="checkbox" name="item-41" class="accordion"&gt;
	&lt;label for="item-41"&gt;
		&lt;div class="item-number"&gt;Item Number:&amp;nbsp;&lt;span&gt;41&lt;/span&gt;&lt;/div&gt;
		&lt;div class="item-header"&gt;
			&lt;div class="description"&gt;&lt;span&gt;Description&lt;/span&gt;&lt;p&gt;Recliner&lt;/p&gt;&lt;/div&gt;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value="Recliner"&gt;&lt;span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3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3" s="5" t="str">
        <f t="shared" si="3"/>
        <v xml:space="preserve">&lt;div class="accordion inventory"&gt;
	&lt;input id="item-41" type="checkbox" name="item-41" class="accordion"&gt;
	&lt;label for="item-41"&gt;
		&lt;div class="item-number"&gt;Item Number:&amp;nbsp;&lt;span&gt;41&lt;/span&gt;&lt;/div&gt;
		&lt;div class="item-header"&gt;
			&lt;div class="description"&gt;&lt;span&gt;Description&lt;/span&gt;&lt;p&gt;Recliner&lt;/p&gt;&lt;/div&gt;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value="Recliner"&gt;&lt;span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4" spans="1:16" ht="17" x14ac:dyDescent="0.2">
      <c r="A44" s="5">
        <v>42</v>
      </c>
      <c r="B44" s="7" t="s">
        <v>36</v>
      </c>
      <c r="C44" s="19" t="s">
        <v>54</v>
      </c>
      <c r="D44" s="5">
        <v>0</v>
      </c>
      <c r="E44" s="5">
        <v>1</v>
      </c>
      <c r="F44" s="5">
        <v>2</v>
      </c>
      <c r="G44" s="5">
        <v>0</v>
      </c>
      <c r="M44" s="5" t="str">
        <f t="shared" si="0"/>
        <v>tv-stand</v>
      </c>
      <c r="N44" s="5" t="str">
        <f t="shared" si="4"/>
        <v xml:space="preserve">&lt;div class="accordion inventory"&gt;
	&lt;input id="item-42" type="checkbox" name="item-42" class="accordion"&gt;
	&lt;label for="item-42"&gt;
		&lt;div class="item-number"&gt;Item Number:&amp;nbsp;&lt;span&gt;42&lt;/span&gt;&lt;/div&gt;
		&lt;div class="item-header"&gt;
			&lt;div class="description"&gt;&lt;span&gt;Description&lt;/span&gt;&lt;p&gt;TV Stand&lt;/p&gt;&lt;/div&gt;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 Stand"&gt;&lt;span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4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4" s="5" t="str">
        <f t="shared" si="3"/>
        <v xml:space="preserve">&lt;div class="accordion inventory"&gt;
	&lt;input id="item-42" type="checkbox" name="item-42" class="accordion"&gt;
	&lt;label for="item-42"&gt;
		&lt;div class="item-number"&gt;Item Number:&amp;nbsp;&lt;span&gt;42&lt;/span&gt;&lt;/div&gt;
		&lt;div class="item-header"&gt;
			&lt;div class="description"&gt;&lt;span&gt;Description&lt;/span&gt;&lt;p&gt;TV Stand&lt;/p&gt;&lt;/div&gt;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value="TV Stand"&gt;&lt;span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5" spans="1:16" ht="17" x14ac:dyDescent="0.2">
      <c r="A45" s="5">
        <v>43</v>
      </c>
      <c r="B45" s="7" t="s">
        <v>36</v>
      </c>
      <c r="C45" s="19" t="s">
        <v>50</v>
      </c>
      <c r="D45" s="5">
        <v>0</v>
      </c>
      <c r="E45" s="5">
        <v>1</v>
      </c>
      <c r="F45" s="5">
        <v>2</v>
      </c>
      <c r="G45" s="5">
        <v>0</v>
      </c>
      <c r="M45" s="5" t="str">
        <f t="shared" si="0"/>
        <v>loveseat</v>
      </c>
      <c r="N45" s="5" t="str">
        <f t="shared" si="4"/>
        <v xml:space="preserve">&lt;div class="accordion inventory"&gt;
	&lt;input id="item-43" type="checkbox" name="item-43" class="accordion"&gt;
	&lt;label for="item-43"&gt;
		&lt;div class="item-number"&gt;Item Number:&amp;nbsp;&lt;span&gt;43&lt;/span&gt;&lt;/div&gt;
		&lt;div class="item-header"&gt;
			&lt;div class="description"&gt;&lt;span&gt;Description&lt;/span&gt;&lt;p&gt;Loveseat&lt;/p&gt;&lt;/div&gt;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value="Loveseat"&gt;&lt;span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5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5" s="5" t="str">
        <f t="shared" si="3"/>
        <v xml:space="preserve">&lt;div class="accordion inventory"&gt;
	&lt;input id="item-43" type="checkbox" name="item-43" class="accordion"&gt;
	&lt;label for="item-43"&gt;
		&lt;div class="item-number"&gt;Item Number:&amp;nbsp;&lt;span&gt;43&lt;/span&gt;&lt;/div&gt;
		&lt;div class="item-header"&gt;
			&lt;div class="description"&gt;&lt;span&gt;Description&lt;/span&gt;&lt;p&gt;Loveseat&lt;/p&gt;&lt;/div&gt;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value="Loveseat"&gt;&lt;span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6" spans="1:16" ht="17" x14ac:dyDescent="0.2">
      <c r="A46" s="5">
        <v>44</v>
      </c>
      <c r="B46" s="7" t="s">
        <v>36</v>
      </c>
      <c r="C46" s="19" t="s">
        <v>51</v>
      </c>
      <c r="D46" s="5">
        <v>0</v>
      </c>
      <c r="E46" s="5">
        <v>1</v>
      </c>
      <c r="F46" s="5">
        <v>2</v>
      </c>
      <c r="G46" s="5">
        <v>0</v>
      </c>
      <c r="M46" s="5" t="str">
        <f t="shared" si="0"/>
        <v>ottoman</v>
      </c>
      <c r="N46" s="5" t="str">
        <f t="shared" si="4"/>
        <v xml:space="preserve">&lt;div class="accordion inventory"&gt;
	&lt;input id="item-44" type="checkbox" name="item-44" class="accordion"&gt;
	&lt;label for="item-44"&gt;
		&lt;div class="item-number"&gt;Item Number:&amp;nbsp;&lt;span&gt;44&lt;/span&gt;&lt;/div&gt;
		&lt;div class="item-header"&gt;
			&lt;div class="description"&gt;&lt;span&gt;Description&lt;/span&gt;&lt;p&gt;Ottoman&lt;/p&gt;&lt;/div&gt;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value="Ottoman"&gt;&lt;span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6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6" s="5" t="str">
        <f t="shared" si="3"/>
        <v xml:space="preserve">&lt;div class="accordion inventory"&gt;
	&lt;input id="item-44" type="checkbox" name="item-44" class="accordion"&gt;
	&lt;label for="item-44"&gt;
		&lt;div class="item-number"&gt;Item Number:&amp;nbsp;&lt;span&gt;44&lt;/span&gt;&lt;/div&gt;
		&lt;div class="item-header"&gt;
			&lt;div class="description"&gt;&lt;span&gt;Description&lt;/span&gt;&lt;p&gt;Ottoman&lt;/p&gt;&lt;/div&gt;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value="Ottoman"&gt;&lt;span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  <row r="47" spans="1:16" ht="17" x14ac:dyDescent="0.2">
      <c r="A47" s="5">
        <v>45</v>
      </c>
      <c r="B47" s="7" t="s">
        <v>36</v>
      </c>
      <c r="C47" s="19" t="s">
        <v>61</v>
      </c>
      <c r="D47" s="5">
        <v>0</v>
      </c>
      <c r="E47" s="5">
        <v>1</v>
      </c>
      <c r="F47" s="5">
        <v>2</v>
      </c>
      <c r="G47" s="5">
        <v>0</v>
      </c>
      <c r="M47" s="5" t="str">
        <f t="shared" si="0"/>
        <v>bookcase</v>
      </c>
      <c r="N47" s="5" t="str">
        <f t="shared" si="4"/>
        <v xml:space="preserve">&lt;div class="accordion inventory"&gt;
	&lt;input id="item-45" type="checkbox" name="item-45" class="accordion"&gt;
	&lt;label for="item-45"&gt;
		&lt;div class="item-number"&gt;Item Number:&amp;nbsp;&lt;span&gt;45&lt;/span&gt;&lt;/div&gt;
		&lt;div class="item-header"&gt;
			&lt;div class="description"&gt;&lt;span&gt;Description&lt;/span&gt;&lt;p&gt;Bookcase&lt;/p&gt;&lt;/div&gt;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value="Bookcase"&gt;&lt;span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</v>
      </c>
      <c r="O47" s="5" t="str">
        <f t="shared" si="5"/>
        <v xml:space="preserve">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  <c r="P47" s="5" t="str">
        <f t="shared" si="3"/>
        <v xml:space="preserve">&lt;div class="accordion inventory"&gt;
	&lt;input id="item-45" type="checkbox" name="item-45" class="accordion"&gt;
	&lt;label for="item-45"&gt;
		&lt;div class="item-number"&gt;Item Number:&amp;nbsp;&lt;span&gt;45&lt;/span&gt;&lt;/div&gt;
		&lt;div class="item-header"&gt;
			&lt;div class="description"&gt;&lt;span&gt;Description&lt;/span&gt;&lt;p&gt;Bookcase&lt;/p&gt;&lt;/div&gt;
			&lt;div class="cost"&gt;&lt;span&gt;Cost&lt;/span&gt;&lt;p&gt;&amp;#36;0&lt;/p&gt;&lt;/div&gt;
			&lt;div class="qty"&gt;&lt;span&gt;Qty&lt;/span&gt;&lt;p&gt;1&lt;/p&gt;&lt;/div&gt;
		&lt;/div&gt;
	&lt;/label&gt;
	&lt;div class="item-summary"&gt;
		&lt;div class="form-container"&gt;
			&lt;form&gt;
				&lt;fieldset class="description"&gt;
					&lt;legend&gt;Description&lt;/legend&gt;
					&lt;label for="description"&gt;Description&lt;input type="text" name="description" placeholder="Description" value="Bookcase"&gt;&lt;span class="is-valid"&gt;&lt;/span&gt;&lt;/label&gt;
					&lt;span class="error-message"&gt;&lt;/span&gt;
				&lt;/fieldset&gt;
				&lt;fieldset class="value"&gt;
					&lt;legend&gt;Value&lt;/legend&gt;
					&lt;label for="value"&gt;Value&lt;input type="text" name="value" placeholder="Value" value="0"&gt;&lt;span class="is-valid"&gt;&lt;/span&gt;&lt;/label&gt;
					&lt;span class="error-message"&gt;&lt;/span&gt;
				&lt;/fieldset&gt;
				&lt;fieldset class="quantity"&gt;
					&lt;legend&gt;Quantity&lt;/legend&gt;
					&lt;label for="quantity"&gt;Quantity&lt;input type="number" name="quantity" placeholder="Quantity" value="1"&gt;&lt;span class="is-valid"&gt;&lt;/span&gt;&lt;/label&gt;
					&lt;span class="error-message"&gt;&lt;/span&gt;
				&lt;/fieldset&gt;
				&lt;fieldset class="years"&gt;
					&lt;legend&gt;Age: Years&lt;/legend&gt;
					&lt;label for="years"&gt;Age: Years&lt;input type="number" name="years" placeholder="Age: Years" value="2"&gt;&lt;span class="is-valid"&gt;&lt;/span&gt;&lt;/label&gt;
					&lt;span class="error-message"&gt;&lt;/span&gt;
				&lt;/fieldset&gt;
				&lt;fieldset class="months"&gt;
					&lt;legend&gt;Age: Months&lt;/legend&gt;
					&lt;label for="months"&gt;Age: Months&lt;input type="number" name="months" placeholder="Age: Months" value="0"&gt;&lt;span class="is-valid"&gt;&lt;/span&gt;&lt;/label&gt;
					&lt;span class="error-message"&gt;&lt;/span&gt;
				&lt;/fieldset&gt;
				&lt;fieldset class="room"&gt;
					&lt;legend&gt;Room&lt;/legend&gt;
					&lt;label for="room"&gt;Room&lt;input type="text" name="room" placeholder="Room" value="Living Room"&gt;&lt;span class="is-valid"&gt;&lt;/span&gt;&lt;/label&gt;
					&lt;span class="error-message"&gt;&lt;/span&gt;
				&lt;/fieldset&gt;
				&lt;div class="button-box"&gt;
					&lt;a class="button attachments"&gt;&lt;input type="file" name="files[]"&gt;&lt;span class="button-label"&gt;Attachments&lt;span class="number"&gt;0&lt;/span&gt;&lt;/span&gt;&lt;/a&gt;
				&lt;/div&gt;
			&lt;/form&gt;
		&lt;/div&gt;
		&lt;div class="text action md"&gt;
			&lt;span&gt;&lt;a class="item--save"&gt;Save&lt;/a&gt;&lt;/span&gt;
			&lt;span&gt;&lt;a class="item--delete"&gt;Delete&lt;/a&gt;&lt;/span&gt;
		&lt;/div&gt;
	&lt;/div&gt;
&lt;/div&gt;
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Onsite Inventory Script</vt:lpstr>
      <vt:lpstr>Offsite Loss Info</vt:lpstr>
      <vt:lpstr>Offsite Rooms &amp; Items</vt:lpstr>
      <vt:lpstr>Offsite Inventory Room Details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 Demo Script</dc:title>
  <dc:creator>Christopher Fournier</dc:creator>
  <cp:lastModifiedBy>Christopher Fournier</cp:lastModifiedBy>
  <dcterms:created xsi:type="dcterms:W3CDTF">2019-02-27T15:04:59Z</dcterms:created>
  <dcterms:modified xsi:type="dcterms:W3CDTF">2019-03-28T18:50:07Z</dcterms:modified>
</cp:coreProperties>
</file>